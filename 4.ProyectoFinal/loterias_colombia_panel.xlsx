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uferoga/repos/ud/maestria/mcic/semestre-2/mcic-business-intelligence/4.ProyectoFinal/"/>
    </mc:Choice>
  </mc:AlternateContent>
  <xr:revisionPtr revIDLastSave="0" documentId="13_ncr:1_{A524CF12-27CC-224F-B743-7278593D5513}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Panel" sheetId="1" r:id="rId1"/>
    <sheet name="Test 1" sheetId="4" r:id="rId2"/>
    <sheet name="Datos" sheetId="2" r:id="rId3"/>
    <sheet name="Datos_Nacionales" sheetId="3" r:id="rId4"/>
  </sheets>
  <definedNames>
    <definedName name="_xlchart.v5.0" hidden="1">Panel!$B$12</definedName>
    <definedName name="_xlchart.v5.1" hidden="1">Panel!$B$13:$B$25</definedName>
    <definedName name="_xlchart.v5.2" hidden="1">Panel!$C$11</definedName>
    <definedName name="_xlchart.v5.3" hidden="1">Panel!$C$12</definedName>
    <definedName name="_xlchart.v5.4" hidden="1">Panel!$C$13:$C$25</definedName>
    <definedName name="_xlchart.v5.5" hidden="1">Panel!$B$12</definedName>
    <definedName name="_xlchart.v5.6" hidden="1">Panel!$B$13:$B$25</definedName>
    <definedName name="_xlchart.v5.7" hidden="1">Panel!$C$11</definedName>
    <definedName name="_xlchart.v5.8" hidden="1">Panel!$C$12</definedName>
    <definedName name="_xlchart.v5.9" hidden="1">Panel!$C$13:$C$25</definedName>
    <definedName name="SegmentaciónDeDatos_Departamento">#N/A</definedName>
    <definedName name="SegmentaciónDeDatos_Sorteos">#N/A</definedName>
  </definedNames>
  <calcPr calcId="191029" iterateDelta="1E-4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1" l="1"/>
  <c r="C24" i="1"/>
  <c r="C23" i="1"/>
  <c r="C22" i="1"/>
  <c r="C21" i="1"/>
  <c r="C20" i="1"/>
  <c r="C19" i="1"/>
  <c r="C18" i="1"/>
  <c r="C17" i="1"/>
  <c r="C16" i="1"/>
  <c r="C15" i="1"/>
  <c r="C14" i="1"/>
  <c r="C13" i="1"/>
  <c r="F8" i="1"/>
  <c r="D17" i="1" l="1"/>
  <c r="D19" i="1"/>
  <c r="E20" i="1"/>
  <c r="D20" i="1"/>
  <c r="E21" i="1"/>
  <c r="E14" i="1"/>
  <c r="E22" i="1"/>
  <c r="E15" i="1"/>
  <c r="E23" i="1"/>
  <c r="E16" i="1"/>
  <c r="E24" i="1"/>
  <c r="E25" i="1"/>
  <c r="D15" i="1"/>
  <c r="D23" i="1"/>
  <c r="D18" i="1"/>
  <c r="E18" i="1"/>
  <c r="D21" i="1"/>
  <c r="D13" i="1"/>
  <c r="E13" i="1"/>
  <c r="D16" i="1"/>
  <c r="D24" i="1"/>
  <c r="E17" i="1"/>
  <c r="E19" i="1"/>
  <c r="D22" i="1"/>
  <c r="B8" i="1"/>
  <c r="D25" i="1"/>
  <c r="D14" i="1"/>
  <c r="D8" i="1"/>
</calcChain>
</file>

<file path=xl/sharedStrings.xml><?xml version="1.0" encoding="utf-8"?>
<sst xmlns="http://schemas.openxmlformats.org/spreadsheetml/2006/main" count="454" uniqueCount="51">
  <si>
    <t>Loterías de Colombia</t>
  </si>
  <si>
    <t>Sorteos registrados por departamento, 2020-2023</t>
  </si>
  <si>
    <t>Año</t>
  </si>
  <si>
    <t>Tipo de premio</t>
  </si>
  <si>
    <t>Sorteos (filtro actual)</t>
  </si>
  <si>
    <t>Deptos. con sorteos en el filtro</t>
  </si>
  <si>
    <t>Sorteos nacionales excluidos</t>
  </si>
  <si>
    <t>Departamento</t>
  </si>
  <si>
    <t>Sorteos</t>
  </si>
  <si>
    <t>% del total</t>
  </si>
  <si>
    <t>Ranking</t>
  </si>
  <si>
    <t>Antioquia</t>
  </si>
  <si>
    <t>Bogotá, D.C.</t>
  </si>
  <si>
    <t>Boyacá</t>
  </si>
  <si>
    <t>Caldas</t>
  </si>
  <si>
    <t>Cauca</t>
  </si>
  <si>
    <t>Cundinamarca</t>
  </si>
  <si>
    <t>Huila</t>
  </si>
  <si>
    <t>Meta</t>
  </si>
  <si>
    <t>Quindío</t>
  </si>
  <si>
    <t>Risaralda</t>
  </si>
  <si>
    <t>Santander</t>
  </si>
  <si>
    <t>Tolima</t>
  </si>
  <si>
    <t>Valle del Cauca</t>
  </si>
  <si>
    <t>Loteria</t>
  </si>
  <si>
    <t>Anio</t>
  </si>
  <si>
    <t>TipoPremio</t>
  </si>
  <si>
    <t>Loteria de Medellin</t>
  </si>
  <si>
    <t>Mayor</t>
  </si>
  <si>
    <t>Secos</t>
  </si>
  <si>
    <t>Loteria de Bogota</t>
  </si>
  <si>
    <t>Loteria de la Cruz Roja</t>
  </si>
  <si>
    <t>Otros</t>
  </si>
  <si>
    <t>Loteria de Boyaca</t>
  </si>
  <si>
    <t>Loteria de Manizales</t>
  </si>
  <si>
    <t>Loteria del Cauca</t>
  </si>
  <si>
    <t>Loteria de Cundinamarca</t>
  </si>
  <si>
    <t>Loteria del Huila</t>
  </si>
  <si>
    <t>Loteria del Meta</t>
  </si>
  <si>
    <t>Loteria del Quindio</t>
  </si>
  <si>
    <t>Loteria del Risaralda</t>
  </si>
  <si>
    <t>Loteria Santander</t>
  </si>
  <si>
    <t>Loteria del Tolima</t>
  </si>
  <si>
    <t>Loteria del Valle</t>
  </si>
  <si>
    <t>Sorteo Extra de Colombia</t>
  </si>
  <si>
    <t>Sorteo Extraordinario - Asociado</t>
  </si>
  <si>
    <t>Estos sorteos ("Sorteo Extra de Colombia" y "Sorteo Extraordinario - Asociado") son rifas nacionales sin sede departamental, por eso no aparecen en el panel por departamento.</t>
  </si>
  <si>
    <t>Etiquetas de fila</t>
  </si>
  <si>
    <t>Total general</t>
  </si>
  <si>
    <t>Suma de Anio</t>
  </si>
  <si>
    <t>Suma de Sorteos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</si>
</sst>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charset val="1"/>
    </font>
    <font>
      <b/>
      <sz val="20"/>
      <color rgb="FF232A3D"/>
      <name val="Arial"/>
      <charset val="1"/>
    </font>
    <font>
      <i/>
      <sz val="11"/>
      <color rgb="FF767676"/>
      <name val="Arial"/>
      <charset val="1"/>
    </font>
    <font>
      <b/>
      <sz val="10"/>
      <color rgb="FF767676"/>
      <name val="Arial"/>
      <charset val="1"/>
    </font>
    <font>
      <b/>
      <sz val="12"/>
      <color rgb="FF232A3D"/>
      <name val="Arial"/>
      <charset val="1"/>
    </font>
    <font>
      <sz val="9"/>
      <color rgb="FF767676"/>
      <name val="Arial"/>
      <charset val="1"/>
    </font>
    <font>
      <b/>
      <sz val="18"/>
      <color rgb="FFCF9F45"/>
      <name val="Arial"/>
      <charset val="1"/>
    </font>
    <font>
      <b/>
      <sz val="18"/>
      <color rgb="FF232A3D"/>
      <name val="Arial"/>
      <charset val="1"/>
    </font>
    <font>
      <b/>
      <sz val="18"/>
      <color rgb="FF9C463C"/>
      <name val="Arial"/>
      <charset val="1"/>
    </font>
    <font>
      <b/>
      <sz val="10"/>
      <color rgb="FFFFFFFF"/>
      <name val="Arial"/>
      <charset val="1"/>
    </font>
    <font>
      <sz val="11"/>
      <name val="Arial"/>
      <charset val="1"/>
    </font>
    <font>
      <b/>
      <sz val="11"/>
      <color rgb="FF232A3D"/>
      <name val="Arial"/>
      <charset val="1"/>
    </font>
    <font>
      <sz val="10"/>
      <color rgb="FF767676"/>
      <name val="Arial"/>
      <charset val="1"/>
    </font>
    <font>
      <i/>
      <sz val="9"/>
      <color rgb="FF76767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F9F45"/>
        <bgColor rgb="FFFF8080"/>
      </patternFill>
    </fill>
    <fill>
      <patternFill patternType="solid">
        <fgColor rgb="FF232A3D"/>
        <bgColor rgb="FF333300"/>
      </patternFill>
    </fill>
  </fills>
  <borders count="2">
    <border>
      <left/>
      <right/>
      <top/>
      <bottom/>
      <diagonal/>
    </border>
    <border>
      <left style="thin">
        <color rgb="FFD9D3C1"/>
      </left>
      <right style="thin">
        <color rgb="FFD9D3C1"/>
      </right>
      <top style="thin">
        <color rgb="FFD9D3C1"/>
      </top>
      <bottom style="thin">
        <color rgb="FFD9D3C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3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8" fillId="0" borderId="0" xfId="0" applyNumberFormat="1" applyFont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10" fillId="0" borderId="1" xfId="0" applyFont="1" applyBorder="1"/>
    <xf numFmtId="3" fontId="11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3" borderId="0" xfId="0" applyFont="1" applyFill="1"/>
    <xf numFmtId="0" fontId="15" fillId="0" borderId="0" xfId="0" applyFont="1"/>
    <xf numFmtId="0" fontId="1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1"/>
      <rgbColor rgb="FF767676"/>
      <rgbColor rgb="FF9999FF"/>
      <rgbColor rgb="FF9C463C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F9F45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A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>
      <cx:tx>
        <cx:txData>
          <cx:v>Sorteo de loterias en Colombia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rPr>
            <a:t>Sorteo de loterias en Colombia</a:t>
          </a:r>
        </a:p>
      </cx:txPr>
    </cx:title>
    <cx:plotArea>
      <cx:plotAreaRegion>
        <cx:series layoutId="regionMap" uniqueId="{00000000-F01C-B340-BF55-339326E7A9A1}">
          <cx:tx>
            <cx:txData>
              <cx:f>_xlchart.v5.3</cx:f>
              <cx:v>Sorteos</cx:v>
            </cx:txData>
          </cx:tx>
          <cx:dataId val="0"/>
          <cx:layoutPr>
            <cx:geography cultureLanguage="es-MX" cultureRegion="CO" attribution="Con tecnología de Bing">
              <cx:geoCache provider="{E9337A44-BEBE-4D9F-B70C-5C5E7DAFC167}">
                <cx:binary>7HvZjt04su2vGH4+ypI4s9HVwKG0h5wnOz28COkcJEqUqIEiJf3N+YDzdD+hf+xGeqiy066uKnTj
AgXc/bATWxQlkouMWLEi8u9389/uzMPt8GJuTDv+7W7++WXpXPe3n34a78qH5nY8aPTdYEf76A7u
bPOTfXzUdw8/3Q+3QbfFTyhOyE935e3gHuaX//g7PK14sCf27tZp215OD8Ny9TBOxo3/ou2HTS/u
7NS6p+4FPOnnl6k1tvmgb1++eGiddsurpXv4+eU3N7188dPzR3332hcGRuame+hLDmIpZcIkfvnC
2Lb4fDni6EDGQiSYiPjjh31559ltA/3+yEg+juP2/n54GMcXn/9+3fObcX/doEebfpp4ap8GmZ5/
nNVP3y7sP/7+7ALM89mVr9b++aL8XhMMuNFtpkc36DuX/Pzy5taYhxf3D+ZFejvdPYPgm5v/JAT4
gElBYooYIPHx8wwKdkBp/LTHkk/NANUn+D9B8ScG9mNEvnvAN7P5wcz/WsC9skY3/0G84MhgSrng
+NPJiJNneNEDFAvGsMSf8CLf4vX74/kxTF/6PUPny+W/FiiXk27v//m/9svSfLJk30ztTx4jckBi
JHASfzZY8XOLRg94jKjA+MniwecZLH9kRD8G5tee34z/55e/Nvy1wNlP2vwHDww6IBwLKTH9tPBS
fndgqIzjJPnSzr/sik8G7neH82NYPnd7hsnnq38tQNKpvdftbXM7/CcdDz1IYsmoZPw3DNlHckAF
IwDe0+eZ4/mjo/oxPN/2fobSt41/MbBuzf3t+GUL//uGjR7EjAkZc/T9sYEWJmI4PE8f+uWdnyna
747jN4D53O85JJ8v/7XAULaw7p//818vsoP04Mv6/PuYkANGMRaJ+EzJvjNpcHQEZhh/4Wziy7s/
YfOJVzoLXLLT7tZ8af3RyH6M0vdPeIbX9zf8tZC7vm3dbXv/MPyrtflzwQ4/+HhOBP0tioAPEIVb
OEOfDB44qq+Z9h8a0o/h+qrrM5y+avlrAaTscnv3z//5skQ/2rp/Dh56wBAXkvPPvPm7Q4UOBGKA
HkUfcYzBIH4Nzx8Y0I/B+aXjM2h+uf7XAuZKj7fDk7X+sjz/PjTkQCSMScKBNH8jEzyR6hgYNX86
N/B5BskfGsqPQfmq6zNYvmr5awFz+uD+g5jgg49rLij/bKzAx3yDDf5k7n7Lmv3eaH4My6dezxD5
dPGvBcZ/g4Jm++m5mPbNzP5kCPq7/oV+guy3EPlDQ/oxLF91/WYGP7/8quWvBdB/WGaDKJQghCRN
PlmqJ1P1zXFhBww4Nhb8sw73HZ3+HdXvx8B8nsUzUD5f/X8MyG+ro79IxNmtu9181Ja/Ekj/devH
eYPg/azrZ9f8Q9/zyWsf3v/8MomTGPxK8tVJe3rON379erobHr74sm87PdyO7ueXEScHQMcTSYmk
LKaEAXELD5+anjwUTviTwspZwhNoau3gyqd3HyREPAW3QCgEB/no5YvRTk9N4gBxFhOgghzF4PYQ
/0XXv7BmKWz7y5p8/v2inZoLq1s3/vxSCnhJ9+m+p/GCWsgSeDWhCUcQbjMEkXR3d3sFyQO4Pfmv
fubjyJmXWRO8VW2/NGmdzF41OizpGuE1bZrObgvm+zQe+JKOybSoUhZjOqNw3q5YHo4sEinF+iZf
+J645jHpJ5JiHFVZni9iH+fxoiKTPLq17FXXsDzzLcObSsr6MHaDOMyDLQvlCnPdzg3KyBBF6ST9
rHzXGUUNibO+O3HhbVxV7Xac1zd+bZPUlPd4FmrxZWqq+CLqZdp2xp30Fm+EZ5m10bBBwd70dWPS
hSV6S/PCvrGEbjhNMjNFG+4upSf9fiLuZmZyUVWgcr92Y9Ep4qNJxVy+H8WYEfl2MckOVu7E+6Xc
iOohDqRWjS93wdiUV/22DNt+spdrnLYiOYqmdUvL8gOp8pANzIyppXJNmWmOND3L506N8VvScJb2
chXHI08SleeDagbtlR7OLKta1XZdUElJrBKd46qX9ZWuxYaM7gILB1Ow+rAMnitTDv3G8eoUR90x
7ptR9VVc7ns3d/s60FgJScptb/3bwo3hkJT8lWko3vhmKhTsRfhCRbFh41qoiexmM6m8Glja8uUy
eNgcBZVvhjac520zpMVc4gxRe0pcfVt1kU6nmaeig6+pHFU9Tmp07g0R9Rl1b/K63lRRT3erY/Vh
w1xx5qopykS94n3uJVWET206LETsi7qc0mYsMjSdT/aE2VaNZnawO8bHDn2Qcn5v+yIzfmClWqfy
0beuSuuyr7Mqd2iLmoSmpH90zF6vZh1hU8+qCMWF9nKj6UXi6iyRItlOASAupekeSKmV1MWoRlru
bTlZldfkkJXisbZJD2ODGyM7+n3kyykrLV4yHsxV2feveX2Kq32xDvu2at/SUCmro/PBXUih06Kr
6XGo502O4Lx0deU3ApFrS4t0SbZ81FTVQp4hEs4Cyq9iF01HtpGDYvNytOCZpXy9ol27EVG5oV38
tmmM3srVVGkxuGYjaneVIH440HA0BvTGxNaqUVc8Sxb9PonyD4sUqQhLrZwzQlmOtlX0rl1LRS3f
Fh5ZVdG421hcXNBq7tJ4XF7TJD+UeDkkZgjKx/6+pFhJWd0Rje+KDpsNpcYrmcAWI0kd4MxNu24V
r6lf9W4dAX6TL1FKfRGlnEqyqZGf0rUkSMXxHKl8DSFlnKx74USbNYXuNlEom6zq9Q2vTHm5luEc
V6FW0gWfRl1UqVDxWK10E2pXKBSOsCzeTEVnUr1Gp2tk1k0XYD2tjTvFHetOfDHlh4607Q5WLx3L
Ll172O3ThU3MYbSYS+ubkLm5PlpnsemTaL+0Yd6wda1UN0ZNystt25HpQutYbpOxsIpWxc4N7ENB
xSVCem/Wfjus/HxE4UTwXsNIx061vlS6idTgq2JTB843C8OLgjd0Sue5UKtD1eE4+DNKi5NobM7q
trgZRFnv174/GnOiU+vGy9JXZcrKuM5yYwflYtIo680JA4086DzecLTGGab+EHiDAkxgS/n2LCLr
BvHhYggYTKZcj1CI2k2ZD1OqG9mkOOmzeXHHaBJHbhlWJWpMU+bq+skyVYrG9t6btoZV7GW2NMst
WPMp7XE0pLM3FzFZM7H6lMbSbKsmvGWjftd3kd8K6jo1y/59F6El0x7BJqkSgM6V3dYU04VfOftQ
9RNT3WwThci87OakfIUWns1iqNJhqg4xqvt9PdfXLoxHfg1nkL9+K6PxeKCIZ6XwN2bst0WkTdp1
02WVd8dt7881L+0+j8lrxqZcGb62u4GX0wZF5siM/Hg2sPNKrN9PFtcbwfqto/SGDORO5+yVr8DP
VElyHUf2puqXHgx3t0lsH6VVXh3Wa3zpdQUGs37vk2lQvasrxaJkUvNEjiiz+bZ1rlc28nsjunJD
tL1s1iGrG7kLVZLOVbwLmO3mot6PRZONY5JneB5fwY7hKo6WFM85HCybNmg+Xnl72JH4DZ2HD1y7
JM2Rvols61Un1zJNGvMBxePeRP5stbB4TU7bDHmaiXLBqm3Ia0Pr7ViSXDWt2feRPloZV93yptDt
3uXJZTUTejvWIVd6Jq9jq99JMCjSAuTCfCB43jMTP8ZxzTKS6KPeN7lC2CRpMo7bjsVH0RAvaRda
kw7eblGtM7B4aopEnXKwLb5+nweSEdtuJ8RJ6pLFpSRZXuslibZxI71i9VKBw6qLTQ/eYmEz3pY6
pgqMBc9qnAZHhNJt0m5lPUjlkrlQssQ+bYRLDjuYxBqjI1NX4GrmntRnLUKx3uLRtjvURBciGrSF
LRXPm3m1cMnlWW3yV31ZgnF1D/Hczcos1Y5MTX1NEpsfLtPY7Vuy2MPSkXmPBE12oq3zbOxCv7MJ
zAgGN910vqiOeWA8Jax6G/DQpBES6WJWtCsacOPegmk10yKyhodJJZ0UGZyTS97beDNKse0bPqil
Hf3lQt2hzoNLBxGtmdNddRVPbkpxNw5Zy+lt3iRg0GNxGebVbOoEl1lkInAdfXUv2JBsUD4VYNi6
cDzaus68LNnpQCu9K+O8VH1Zrcc8ovKiCmu7n7sVw3ZapQYnvWRYlFKxpcu3DbP6ShNcGhVvi+1o
L3WJzsZZb9YFyw9e6m1u3GkcN3hV8WqGSa1ehy0xfa0sRWdkBUs8rnjYJouJNonoTkfvKlWG7qIW
PE5dA7awXlG5I97PmejHjPvGH1ZMf6iGCM71mHl8MoLJQN5f9kwI1erquEuAruDWpS3GGSvBW1gE
Jw8o7I6F99Sb84rBmuRm0/DqwcTVLfHLRSsRUXxhx08ud+iRU7lpUxn8+9A2dTr27dG6rEjRRbdq
rYsjPbtp5/SwjbS+L0wKliwLDNgQr9t7FHmsOjadJ7LZtVV+gVhVKMhQrYflILJhDRvb1OOu8W4B
7pac5TVQEFktO+DsbJeP1XYMUXOK+2gTi/xDXs2bthbsHFwgsJ2hVaiixYb4+KL0bt7ELAzKuPkq
R+GOjd07UYRsZsOl7cJhpHO0C1Zsing9zXGHtzgps1BN73DXX2FLLsu8vu7K2CreJeflMIksL6fm
UDD4isVyPjXN1i3VSUzxDQp6R9s28zU+HRt2PCbr5TCStz3JWxWa8YSMo8iKqj7ltl0VbLTNuA7n
dJi3Caov+pCbbTP6i6XQKKtCf1qC29wIm1/0ung99bDLuAbTJX1vlOmq4l1hET7BcX7SxfiwX/Lj
QQORrnkZbeqx3vUYDSpvu/eeLZu56s3GhFgrYO3nrumvJScP+bq+k4XHG9mHOI1ZNKeVxDororFW
M6aHo/HnLF9VDcu4dAtThStvahn2xbDU2SybvWQLxCfiLPHj7ilqyKZlutG1Bw9Y1nobFxDnaLvY
rEj8fIZQBeR85Wmr7RvCQp9ZUgNRxjnNXISGzOTAFLsW6G+OsqSvTwc+Hfeh4xe2Hh+Jg5AiAA3x
A8RW88TVNEZbKLB6s/aw/QSy1aGx/b6YWiAO7UCUl2FrkiGTYQLSPm/jaDohQzxAPNazDF7G90ii
MZXdzdxJrnRfRVsu61vGhg2N7Flg+cW8tNlIDZCU9w64el4QlURDoeqSDWA07RuT5Fd1e84ily5t
fDmOwJ6ABABVnNuLwOYMm+tYoi0cqMehrxRxpwL1SOmJZrS4TKo3tX8jUSHBWpcnXnfHtMPveAsx
WAn7VXZXi1zPI5anvnavSz3kmV5hrVvatJl01Yexzl9D6cRlzda0J9N2rgejyr5Q3eqHbQ5zSmKw
bhAaFTte4jshim1ftwuwLP0AvsGmrJVHtQWwitoMajVFmRamvyjW6nyaE6v6BlbJ2KQ+LqR0CgEh
2BYy1GmH6RYXyKRuykeFB7oF57nL+57ul3kYj5eKb0Nj7ll/5CMKdWcIH4t8WcCuVzjtDGpVj8KN
EWY67RHZ4SToVFb4rHIQviYI76OucltbQTDchwIsMYaQdSp3AwsnGDZqKphf9tOk8Y73pU/LvCoV
ZuisZqi8LIv1RLi+VGbtzKaQOexhavZo7S4dtyec66NKtqce8SUDG26JvDADR4qj8jwfSbydcz++
m4BkKYZn8HTSNFsRfHW1JM0Vm84wHzq10FdRRdQS7KxIt5R7Rvv2cWYmeaA2hKBmO0xOLZpPQnHr
CURCCyo3fBRxNgCzPBomfMlDA/6cJA+Jl7WKPBcKlUV+3c2wnfOW0f2Q0FOE+WHlLtI0aDh/bZKn
/ZgfyVmcF2uA+CjXiyIzaAW2KViK0dkSrdXFSoG0DtWU+uL+yRZgDeGM9vXOr6RM+dSksFqHsWGb
dhLJLh9kUEXTgMupznARHdlkOWT9OxbKEzTwYyPLWvmh21oWpTGS22nMJ1U360XUJBcQs9RZ4NGs
NI+QGkk0qIo0rzkBneGjVPRZyvpGjLmz3TLoovxcZ/nLz3+cfine/Fgf+Ov1p0rNX3+d+4fBTcPD
i9PbbnyxhZKLj/Wbz/s8vfmXTr+WHD6pVr/UHz79+E5F+w2d7FNp6G80/hkRDYN89Uvt59MIvhHR
0tLe/fP/fK+iPfX6oqIxSBggBoaGgk2T4Pd/VdH4gYASBGjjJEFQNgJ5oM8qmjhgBFIQoOPF0Moo
+1VFwwcS2iBFzjllErKuyZ9R0TCHOqBvVDR4AIFEk4BDzUHr+9j+lYpGpbEgYnQoo0nTRDs4FyJO
lxhPN3ZArAYOFrPrNue5VnyohysgBpweCaFJopK6nd8Dj6MZnmpiM6/jNk/pMNlTGEPxlsaDhaCy
WZxRazBmOQ8YaZ7KpYsi1dOePZBkzh0IQHHXq7LJcXQ0NCsQUNKJ4iQGzaZPK7gbg59Jknsyrfnd
SqK1Az/QmLejiwqk1q4FqxVFC3+FUDs/xq1YNbBXzcoUs7i752IxEBa15dwd9ki4JW3rAJRfezfd
hWL2Oh1HCi/xHlxQSsLcnBdIkul4iIoywKGvQ6F0hPtLWaym3/hicfc4b9h1h/Aj1Bd38XE5Ji08
QXofqRAsvXcVWsEjaiyrPY5x75WngGxGCItbVfopfnzyxvOudXV8XY7V1GXrEnhIBe4tDJ3HCVZh
rMW0bbFxF03ELAhxwL3O+tGAYoBQw95x2cIiV7Kc+w0UJed3KNTmCGKTrlK17XoMgbgl96t35W0/
U/x+KcQigBBMFoKcokxqkNAEuO2kC/GHqfGMpg7iyVblclheRVTYD5ja9QTkvDhWybjy64gvsCA5
k/Pl7Jf67SqS+Bz5ML/Ki3jq02moug9Dx8z5kwCKVb3U3QpuqBAEnFogN5MI7QeiexHAxtJwYSqT
3BcrBQmxRWa5rIZuegXB59Qq3kTxMTfNWmxmWfK7xcRgJifdOHtF6VrGqqY5hI6x8ECUuxyDHAtc
kr8nLvG3Iq6KfDf2zDXAihNtNnld5YvyBUTtoIwlfFKcT8hfg+gyYqtiWuRvBliVsMd15VhmQGeb
T8uKLPNl1+RjA2ttxfvQLcl8iIUlJp2qwV4Ll4OUxlCyvI1p5J926ABCYzV2BtSfxNE3pgA6l5EJ
5EPVtkmZv4NIrcuVtAkpMt20Q77ti4aak9EEZ9NYE5mkfITQqpqr911uQcxjTQS4Mdzy6zYe1isv
J3ExPw1917B4uEtMjSEAaPzqVRkN60YyDRKWXOfkXSwcegsBOgimtsLhTeA5fzOWPb0LS9W8DVAT
VcA6rhhO+WCNAq8k57QxEnSlQvS0TafY+ngTIp+c17ICvhP7jr1LphyC7bysabGVuakgXkEtuDuT
80bFeu7KdI4824mmo0c9Jdu2mYAnNYhWIgUFJNEZBgns2tW6fd9YpJMdErl8bHPt+KapVnTTDLxJ
lB4XumzHGEU6q2q4b0MoRnfwmnkCnVDCdxiGIjlfl6hogbLms059M1iIxmIx1lxJKG3q0t75tlAj
88IoiBUI0CGJ4rcj6lm4zCdxZvFK+tTKQYJ4jZqgFRrpzVoyX4NQEefA2XlN7jGuo/6I8TCCzoFz
a46xHbsCTFsg27FZ/B1dnA+ZXSMdQYBMulI5ULT5YT1FYH+aME2qqypSpJ3W5HVbS3bMegs7huEB
rCZwLd0rBykGkBqWhvpsSBoIyBfEwIpVnV7OIIUz3Y5VuQJP0igRacS65N1KV9ztpQPA9jmfqi7N
WzuDYhZVEH/3EHtMxzkkVboNGocOdI8+6kGGdIVXbbAYHQ58HbaOUGvSuonTaYmrbQOK4LXpcv+B
5KxTXmNxw8cu86sxIdM9868FpYAszv1SpMMQIZzFrW2rdA5J9YD6uZnTiTJ2nliLXvV4bK5QJKJG
5V2JjlBne7PDxbRejwQtPYhLJrkkVVk8gIQYhgwi9I6qoq3oaxKbUCqwM/3yOsLdDCFOBbGtEeGd
hO145loHr8rFcLyAaqIzTsVbPOhoF5xkbx2Po6PO5zqDx4qregjxBILItNxHCZdFqlHcaAWPCJdN
3OpHNK6gp1EnnD1pQhfVacilMRnYdXHUTIuO1QCHG2W2GaJ3EeOVPBzI0N9Y2lUXCY6TKa2DCw+L
sOuhLxc6Z8gyci+Rac67Nh5F6st6OSerG0+bKolHRWVUXY7awkbBLiqr1ArcvMUJq1M5RdamazIO
7/C8gmTC1/K4s3N5NtV1uWuNkCldK/64Vs3QqHroo1crGRsNO78lRA0rm6NUz2uZ7F08+as6SiCM
DTMBXajpNap2mo/kemyHBuTblRXnZYOmUXWRTKasYpbe/H9K+fRPLt+TQwR5zN+mlP89fP2PML8m
Zp96faaUTB4QzCDjCZX3GPgjgqT6l8QsOsBMwA7FKEFP3BJ442dKyaEwGUOqHj4UcvZQR/lLYhYo
KhaYSIYEecrdQtMX6vxNLAD56M+/v07MIgH/xvQNpeRAM56yvPBA+pQkAV77dWLWIygXWEIFfLCF
85lBfZpNjgtXkQ+Tp4I/4rYiE3gaQnQA3TKyJysGGWHTszYU21wCqaELpJbT3PXxe6gGZY+RjYv9
aLvhEgVI6TSg7WQIuAukcjoQOxmDqLpgyXEVHH6sk47eg9RNr5kAh7vmEahplrtMRB2kQuZaFzfF
2pc3oRpHCFLbZVYTd8v7MTLzGV/telqNbhkhV2PIZTPPxZuey/mElhLMVYyxqnRjj4Qf3HmQE/BU
mS+QIdbJrEC+EPvVL+7K5LTb9sAw73tcJGfGaHfaGYgOB4zHk8g35NFS2kw72xgQY3Hktkb0/SvI
xNMdATl4VyR0nxNZm5QmDvJvuGqyduL0YoHq5TNw0+4kcvO6NbE+5Xi5g0R+CIcVZFwuOjfPo6qE
HtNlqiCTuHA6QDzfWVDsc3QPG+hVAc7l2AbZ7vIiATRqLE6wAT0I9EWya9lAsOKiqQ+XOiCtxBSI
UZDwx+ddoPMH3puFp7OW/qKsi/gsiMk/RQ69P11zO6TLLJdHK7h7g9pxbq3CoiWQUKfk0Y8teLXg
Tb5BPbjRtet6iMslhVxs5TrI9HX5OO0mHaEzP/cgqWkf0G27RtMrufSVUfNIZaVM1FZc2Xg9XBo9
buVkcmCDsopB+BfTazYGd4ps6Q+LuXZHK9bl+WIROe17P7Wbwc8JykDD2pSDI+eJGJfjtpnxdRjy
+gr+EalrrmTUzqWSLdQ1pAJ8Xtj6LofMs0hMUaRFxUCeS5Y5zJDFHSBJ3FRwalWcmP4sasrjZl3M
Rbcu/Qcqy+Z66Wt3PE3NbfSUO4674XQpRpMSs9xDGY0Blk/ytNZjNhV5kRWiymJPaOpHNG2l7PE2
7pExKtGlTmdKbsqpu6a6DCfD6taNA7Z0Z0tB0mKp81M5S/qgF4pWlYM6tBV9iS9y5MQujk17pNE6
bShp8KYojN8NVDRbsPPtBqRmyJa5we6MiVCjprijh1XhIDgBknFaFAJo1NjO08Ynct3ppAjbwrQM
0jGNhSzmZAtIwC29u1qGsT0pQFvaQdSn34JmownAE5bLMU7Ag0LaxG8gNk4+ENT3Z+XYg4cZcDJu
a4z6rS78vJ/bhZ2OcTNeiTUuDiGIzXdinqptK3taqXambqPBaUV5ccxWkk2RJ29YqPkWTvkC8mQO
ej4PGLJFJGmHbRHP7LIVc3yh65nvYhmtIKU4FU3TMVRPOFB7pk4FuYTjOaf51rUFYqAA2uEEVEq9
aSHmXRQzlGer9JNRIGJF+0L3NVNAGddXEs0+hdQjOcpBddtEUHLw2hOojFGDjPs3BS7L3eJIfLPO
M9pqiAk2TQdW0hoo5wAFjV6j0cDeHlckthVIpxAHtMuqMHInmrgVtgVHJ4ZXsFStF+9AmWP3Bvs4
q7gfBpWsYQCQEg5ZI2SOChJBbpYV8XsIgrFRGs0QfDaFSPZdmxR76nt2i6ErJC4WAev/f9k7s+XI
cXRJPxHKuIAgeUsGY1VoV0rKG1quBMENJAgQxDudp5gXG2d09XTXnNMz1vdtZVY3aUpJEUHgd/fP
/+ypjN/TaFibQ725SYf/3PP/4p6H0/Kv7/kvNbrN/6CJ/+mi34pafyOwWIz6XULDlOF9Dz36zwSW
/wcuWIDdIdoq9G8zwJ8XPfsjxJVMcc/HsJbRpsD1/CeBFfwRh4AT0gRgFr4s9P4tAosmmCb+ctEn
YUAjeFERLmMvThLvrxc9D0vbzxXyU1rH/U4I0UILB4Y+IE0cj5zSdMdLxGWtDGqSpZrN+9Xv2VFY
n51YFNGHcR7mrDGc5kYm644EPskSrqNcJKXcabPW16ma+1PV04bApMGHeRXD8Ob3MFCpad94lMjj
xMVHXNkK2YJ6LLvywTl/tyA8Cwsd1ZrueF/Rx8lFYoTcS5Mui0O/RggYUkYyf/HJMyFx9BFYJaeM
96BJ5tUsIcivkr5Ki8S9TLr47Kp0OsjQ6woVSndgsW6v6YpjYRevJLmyzquu66qil1S2iDDTzn+H
L/3pJ1ug2SYGlm/ZvKs0VqexNrzPWEX4r2RBwC4R3xx1Z/0pi+K13BFSqQc11C5fRQv5Hc0eqzKW
luqX1Uwew5bqqwdiBNEDoIBII+QsWu7rt6GKK5JFtHevohwWBOM9zfCJeYgFH48ln4XYxSKZ39Us
MWggvj2QLhyOiTDmpV9aGxY44+adSgPAJ0HaJMfUIxUsfO3Eh+g7/qF1C5wOIn4LNSfb46jT7XE2
MSSXw+gBLW44dOPaRLQYHbyBVU3p1QtGr8D3Aq1E4XfnI/Kmp4YM4ouqJb/GNqjTvNSDvuKK6S7h
Yshr2E7TcfTWlgJA4d6vqBseSlI5m5c+iQrGx+lnXVt9LlkUn9O1jfZ1QgCa8e6K8jeSao9uPJiL
5fQjarUpdM+2CKJzZ1/wkmQOSNbHIof0ONe8PUyB/DqUtsQkt4x3HgeokluKwG/pHS46rwcjlDQW
N0MgeIf7RdJ8GTQ7ybZRomg4AjS4U9K/Y2XXVRCEgKBKjJNwulToXyQT/K2tOlNUtkTiB7MOSQ/V
GmMscg4/08y2+9mz+q71nX8k1PRPlo9uH3Zr42XCJGwfi2nVWUVGfDJKWql9sGDUzoya692yTnjZ
ppK8jcsyHaPSmfagyeodSKpNjXGlY3ddO9odMunxbhWNFbA8k/VAmyZNMlol7aEyi0rhMul4HyLY
LYJOiAFqO0QCV9UN/Apr+vG5I518aHVQURhMgf/N28yVmox9CSs16Q+6teV9FDSYKAZTVV9BqmEw
MrW+tJHBvgLDBwHDCdNiOgKfRJJV+cjuY1fAF7ZXGneRymuPAZ7pWF8Q0/A3M6VlUWK60jlGTph9
cTDVu8BPG8Q+truOM17dXRIb7y5oYG14AKGSXaQRcws8sO+QJsvvemBQ2HNsyt1ovPh+Siukrbfv
hCwc9GaaJnwE2EIXmVWq7AsMp9NrNXVBXtJkfFlMD9QUGWp5p8ImYlk5lP6l95fwwURu+h5Rq78w
qT2erdbvdniceVSs+GEwg0XDvtV2urhWhmBWavO1WaLuFNXwlDIxTm29U6TsflTDovpsaFsYaEQI
PuTh1HN3JyOZuDOder0Nj1X8JfTwwjTMwO2CPVpPePTI/GWxMTuVoxjOaZ8ixZ5pl2QzYTYTcnEH
BbkArGvRCo55WX/icwjze0wsO0Is6O+tUeGYtUM0PIA3qu6BrYUUUX3pgt0qATcEsmyCBwWyECcZ
aWEvQ0Cd47ROLw0j0wEGsN0Dg5rOmNMxZq96LcnOxYHOid/SfbRY8rYKHhxCntZfjYrqfdtJf4/f
e30LRr24Z762kGgrYafGLEOTBd2k6xxPtnwatBaPwozznAHz638OvnWXxEgfMBtG0wNIus3bNdMb
CPXyC+2QVO2ZJkTvAFuC4VVt+z1Z4KxcenjtIkvqMnoZpIJdmgg1wecQIxN5sk4azFg4TtXe1My9
p0rCl51awT6dSNSYTVImZZHSfv22Vl4JJyldWXrtPFJHOyej8F4JjycnjbELDBDjbDwlqQOoUpYP
6ebkm3EM64zFEznZyRsuVa8DXIIrjw0YDj5BIBpRCOtJpAOiI+44+jyRT4pM6sOHIXZOZg+ftYgm
Eil9u6Z1Hq02fJzUKC8sGYJLZ8otm9ZdCZEFBfGsldV614zVAgK4ntwA8DgFHSlBGYRmw1R458Ma
LQM+I6+Ag7W0xn/VQbvFQqWaPsZE1u0O03Sv8wCPZUZUG3pgpbRa8rWsRI2DbYJLrIYuutaBmgGp
yU10euH3wA29f3E9zkqgF9ukWd6mTtcn7N31KZ8zX/jV2ZbyfdZSvi+rCsqNipjqtwAq4RimdOPW
QljD2Yrq6CvXafcSlIR9dCWv1LOUdAaB2oF7nH2HXwJJAVA9IUCWBM5Biy/NBliEczL9wuqJ6XWM
ACye+ZQmJ9c1KQgKE+qvwUDXH7yFllvlHBzXxMnrGgowKk4OZZpbBd0InG5R4nPEG8cLr6kH0EHj
CDET+6NftKakVxmU9ZjH7biwbKWVFftx7YM9mb2Jy3MU9UOkHkSbTnW6wyMeIMrpnM60aaOjYTMC
XelrC0PcD14T17TXKnXT2SMqPi7xjOA69PpL6uOnUx6rDwIP5WfVRupOpK16kLGC+l9xKZ8Ja6I7
aWYvj/DS7/ppbg5t2utvlVVeliIwfwswekhpyJGItMLxq/vL2vDm3GF8yUH+JFD44zCE2crFRv5N
7pdsWnL9j1z4F3Lh/1nXOOhvdf+//uv/NN3+SS/g6/6uF9gfyZYgRh6i4QSbIWC8/d0Y9P5AIQTu
Hw0T+meg/KdeQKsari6yZpiD6IGGKRLqP/WC/4ePPQZbc9Sjm2mH8ui/YQwy+t+yZtiSITQDxIkf
xUi+/6oXzAyvMELzMYe+tNOapTIFrMwTlbyNyIK6DJ0OJ3Iy8OYbictk5znXHdTgm5/BiM533jg9
ugsPTHoBbNHmPkoPvTeKp0SJCewyi9oyt40FCNhruIxHdM1jdUAEI08dLX8OPe7qXImurgpio+US
2xVFhRCCacw0irJrHmP0yUoMGihkkHJgWaTL0d8Rx2HBWTv7zU4CmykmHgF5YUPIipbcGh0Rty9e
mVbtzq8T9R5wbKEC7F7VJ2nr8mSGri/asO0pDIel3C2L1zwm8QpsVCVddBfNMgRnChL9M6Am+tao
xOLrhR6BFEYVLqO4eUTGkR7GQYHi0YCUTyMV86Wnqp2zKtAIRJq5jb6Bc66KAXHGrqPLcF/Vrr+4
yCL4CUmqNHoRTqnPEQOqUTtk/SM9zrJkPS6cWvxebVTX+0TK9NHjg3sLKVc/1lG6Lq+VTXyAVf7y
VEfjiFiPoQJRrLHJ27ZvvxEJWZPFNgnvOiLNxSJWaE+DYPRx4MHw0xuka/K16dW5Wb0gzgXrpqMZ
SPSrIj1NT4wKHexm5vrc8yt4HHqdmDt55VyD40NBBYTUUgI59ErT/WhuoxK7jU3tNkE1qdNf/TBe
YeDq+YTqxHg3E5Cre8Sf3Y4FJe5Ito1momrBJ0dt+EC2wU3NgDAys41zC3GLychtyAt4kCfb4Idk
pC/obRrkDoWNXN6mxLoG32oGbXAyb2Ok7UcMlBPiHIzZGDNRDWjfAS0shbtNof42kDZ9590h3MOU
6uPiuPrb6NrTrgZIvs2zusJ/QPjDsuhT6q4mXqPj7TvxCdqS03Ah2Vp6rgBYSveGKIzbCeizXN7m
aaSEyIamaL6U27hNxxW9iTlAD2Ucy2oDkXu8kzAeDni3FQQSGZAObuM7T2MS4mOPoT4NYvlM5RxW
gJd6TP3hTQHQTQywpI/3BLdduvMlfuEteGvyaJMQLFYLgqpNWJSssTsbJ9FdVW66A1eEd0g77HQ7
MDZMR7pJlKosy9dlky3hTcGQTcxstiqsPaBfoJs2uTN5HRLRdRNBk2r6p24TRlEX6zuziaXADtBN
0Sah7E1N8ZuyiqrKFCgi8bd0E15Im+2CChfk2BqgCgVaBSLNIwJ6LQ3FJAq7ybh0E3RyWKsuSzeZ
x2+KDxdoiIeLJyvGm00YYnYyO9x87cFu0tEECXmHIISeNMALzjoU8o5ucjOM2AhkZdOgkgvoUXQI
vPdyE6pBucRnNg36HG8yFuFIVECI1CXAfUhdUOpQvdMipmOwSeF4E8WBKcEx3pSyGkh1FZt8HpM1
eFoYGL2q39S1vwntsefpda1JtBM3HW7Rv4IY2tS5vil1sol2Bsz93N2UfBBMOP/gQ1UffJP65U31
I56Nj4lVzZphtg0OYOrSuKCs5bs0GMzTkvriPG9WAoiT8JGzhay7ZLMaeKqSwku5+EltA0sC0li/
0ZtRAWu2KSAcJOQLfIw0WuWRjUb9ojebw94sj3KyIRpYqT2Sqo4+Khwtx3RM9DHeDJPRm+05iWt3
CfgGJ82bq1KXSXOnktI/RdBvBwuk/xefSn5wmytTz2N1ZZtTYzUEzy7a/JtE1+4gQa28lFXJzsNm
9sDIjV7VzQFKMezn6CigxVJuFhFKIc4vILRgHzGBgzsbb7ZSSrzwscNpDIXEEREVgy2/lMxH1hDm
oUAnrCHBAs1l0ky2HaT2keGVA25PtLiD7ZKcXQdRuGUNSYzCW4MZG6n6knVzqOEzIEBA0KPtO/zn
cQ/UZrimVJU/cMKUoCm96cMP2Xxxk1wfOi9675Yos6y/Njp+XPwD+ouR2nUDC9+1HFO+o2CtD0jm
6XOlxPgDWWK9J7B4cg/aCVE4Vbh7AlBAtk2rp2FIqyPtg+RR4EjaIWHrDqRfxCltCNkHqCcemgBn
bp7QXuW6SefCxWDBLT6O/W7Eof7mpnkp+mQV93gOS9h6CSwW6b4MY+COzlJxWE0cg6Kd0y8LdXWT
97h54V2P40VqfJlKq3lnJ949m5XoXFVhuu+EXh/iMRqOLTIdmQWsHB/AXaUv/QT3W041K2qOzqB0
wfg+LmL5lE2ygtAw/fA4qoSjrDJ3X6qpjAvSDAEeCBC1SrP2iojO/wR95Z8sxVmNYhe6fvWnGucU
jphtMh+toYNJ+G86sQqvRPJLqz54MIjPLjBk9LEe4uF3wMh64NESFQle7V8NLFr0t+bmNJrReWA7
jDdmwonwZH1/uScyWnD0YK44+6jApbkIYn4odW8/W6WbQ1DDmO/PDHyeGL6m0lBwWhdNn5o4WKa9
kWLrWKAm1PzyuyHN/Tl2b+lCPtfYm15iE05HDzAsEB0LmgHuocerPBB1CcycfC9XvHGJfQlnl+A1
IpnFAf8K+AZSBX2/N2USHC9ArA7t6vOCO5V+UWIo88o0JsO6C/FYlZYU2og5l14gjjP6Fc8JKgG/
YQQGCKnKGVilSw+lcd05sGR4nPDkZZ6tzFM3VV5GSc/RjHU0QwEFOmsq1AgV1Qx7RWDSeLx7Ukuz
X+Gn+rLC/JKeopXn3tDBUWzqUyNb922JelQ0LB6VNBYBXiLH70TPPhtH6N7Tv7r5mTXprq0nvBJj
CetCpvseVbILuF+accbQ5SXzdAabmSJUUUvhlWh3tDPpc/zur2IswblxriCz2iUH6otQtnBhOC/D
BTNnE0/lqVVe8kBbzouZoeucpYHp7oMlaA84LjDOlmWwdVLfgnk5BdUMLsOr8m7AMYAYdT1pPS/A
2SP+ZQrNsp9sA24/nWVzipn8lSZuyiOix5OrqiVjqjxEMA08GJbGYwN6isjaeEa4msfdvFqFOhs+
UTsjkuqwMmW3wiPsJenJD0VGdd/NDm+k6OX7qiOHuHyl+B2Dqp8f4kTAfKlCPdiC4wmy0JqEfare
De821fsBPGWSt7QHdQUbBne+xPWaxVVfiWOSrHUeDBZOCSzJD4qSBck6PBvNLma2TIp4Qns7H5BC
n0HYQRy3qZRvyMHGjTgRzT0JelcotsTXSQTg9rYmEeCftB/3QznhQjDVgxrBJWGmDt7dXKoDfCG1
Ny0s8Hwimpxm5/MPpcL+jaUebrwO6HdMhuMS1v5LhUfzxGwPZHUY4/LaDl7zRJtxBlaKFOYHFU2F
WaSNAT2auntoSzN2uUxG4ucDlyH85aVkB6/zvbvZQJBnKd61+FRWsw8YLw7h3jZNfa7QLMd9jCMV
uepCxbrroMguCY2Iy9DvfmalL1/+I6H/ZwntQ7n+68QtR9nzF9aW/XciZ/u6PyV07GNb1W31Tohw
4K+4NoI1rDvAwOr97c/+sfQAe31DMFxY5oe0DkEYgyb/U0ITD6sSEGWBumFeHMagvf89ER1u9Mw/
rz1IwgQoOdI9ColPgYf/VUR3AcIRf/D4zrTVrN8bva5pzps02Di/5gNPIjkA7pSPsVyV3etwYe0J
9d9wP5nmew2q250kr9HhQD/dAz1i2ALzqk7Debc2sbtfcOGXR4cDyv8eMywT2Nul8dFnnCd3xQn2
HX9jl+SDmMffg49TW1SkfZvanjyxeqyj/You9z62s2mw/8Dgoy5KXUa51RUHEzTQGbZayYHR1HUF
ABExvfxcFgxtltT8PNtkvkA7BM8RBgwPnqKgLxuv9hIH0uzQw4G9NlTdz6Wj6snIkP9cK6qffJuA
T1kmAJmYhLrPyM7DcWqCYWdBKT1WlkH7eNJPDugLixwznp+b0Iw7MADqPapte1bQvC0cskR+I77s
USuhKwz4CT/l+wAA8rlfEn6lRtM7pZrhPRVL8NIzaQsy6HQ3JWH9GM3OhDslBDAlSiqskADUWXQ9
n47JAES7mdb+BEmNaxhEFIzLqA8uqELq78ui/SNLqu5xbk38aIWeHgzAeBztDZkw462YoasGPecO
taXvqmX8eY01ewo4XGWwjUGOtIx82r5WpxS8/OPSdjVSoURRIBABhdk6rF+EFuVb2nT9voJNUci5
ZKcYd9jXiMFuLbqwS7PAdnxPSzffRcE0X9ZKm+8WGuTiyjl8072Sry6Z+hcXhEOxEEaui53laZW0
e54ZlONkA+8wi2hA8EI/ASa5fY8u9gUJW/oTN+NHZyyy4rUZD7Mq3Ze0TcMdsWVXELUmv2Dfhm8i
YRB9WKNxdIFcdqxb5m8gJefnadKs8LwJ/XZJm28W/bA0H0iQPsYINn4AfnsAkv9KRaj3StHlFMGQ
eKEjk/u+HOeXQfvsx7TE41uEY/u9WWT9HRtB+OsCe2Av0E7sstY4edBhbdCUXMP42UyuPPm1ohXO
6bA7zYGH5hKFXfwSxCV/RM+83IPaibJts6RB8waWa8GBUxVgZcAKOVCu1wnTJIpCvt+kW78cTfXa
ImfdCc6XdwOxfaBrED6HRnTQhG30mupgfObBHB+WERPkoGK4Iy5KMtw042VANRk0jCkfQ290P5u0
ip4n5Dno68r4UskKJWVKtokjdt/8weGDpztyFFKbq98T+RpzaoG5elH4XNkO5Ujlt4/hyhuIubJE
KKfai7NLkJsZHHCPvQfw0nrUKppo8u57LdcCvsL6bDEFFzL0kwfD1vUKI8odDXC4h7T2bC59rBQw
YbSCSY3E1bNuupJ48R/Lka97geXC2FrRetiW0AVszFS3kD3yf7DOgQ4/hcSYGrXrWLDe6DqLJuSl
4RwHD2yAx56w6A0z9fBoa3Kveu/ceP5bjYBUgulLU2xxSPqHJeDiuQIuBXlRLjI3K/M+0QaedpOa
yLpvx5DeM9DleYOw8UvH6h+rX9lXhp//qde++w6Vzr/OjiJ8GiNbJ8iEGcrj4WreGyLeZ+pDg3qL
7701aAjjhxin+h2tYQiT0J/v/GVld6XPvd9NAhMexiccSVInI8IkqFAEMku3ZlNSwgSFFAnxF2C1
Rh7MKPgBWAwTeCZsfi3lin7XGiQYRGbmkWeAy1vtRlJgjHFfHSRBRzRDCrtgTw5dH5APYHWA79KP
QCl9xyJ/wJhW1rG3Q7dzDXeWLebYrbG6Bn3Dunyeuhi9d9mETcalb1wGLAXMgl3RJ2CcxG02TCl6
Ei06pBr/T/wu9+sYp93UheINHzJgS3XLs0VzzMu6GtCYMAb5M1SVno7K8fVqzaTf1pGaj66J6bnD
i+IXsFt6jK5m+mEciaC1ZtWBpRtGxFZYLTI3ObzTSGJdRJhskZ9a3hkQCyAFQbjsuav5XMy2N0tO
WjXc+yuJ79amS7o8TdC7hOuxYlDroNyf2JrUw24Qlfd7wRmEjGuYemjkFF3dHpC/PIoKSeJL6BG3
maZrVBZLuWIpglXaXqc1dPek3dj4Xi3my8g79c1DkEQ485ajK0e9Bz6PbQNVkKAI0gvyAb7f4sJZ
GVq3SRcAGWkjAu6M+9FjUMkY3UM1C5fBkRPQrM2CvRsWyw0efI7TLRwijf6Mg94hFjfoAYV4N++B
XI7oKmi0TbrBRN8D1S/NBYC61vuubdCsLoG83qsw3bbl9H7NMkuxDiMffTt/H9u+9FBCDfF7QS5F
XWEjpnPRGQmYTdXsDk15fL5SlMSiHWkmdGgCPTE43nSt31rsLzjAT595VuIjmTnXo2kTlyIjwkGo
yoa+AEMaXrAWhd5tcD1ayR4Ge0h4sPiRWRGU+kP4IYnnYzNCPBTIofxDjBYCetEoyKBujEQrx/PW
Hqnl737TBnc1j2RRt7J6n9ZVouiwpLtSrfUdKkFmZ0Zrdkp79auGpYuaxTjny7IiCcYJI4/+vI4n
WTN6j5SRf4PU+pWGZfq+LK0oAL7bvBdeikO1bsGqxrUpynlC7l+F/Z3r1pMUP8M2jo/d3C8viCjd
acD5jdPdxuulVYZ8LCgOnLqWlDjbcQuiKIIYEbCrAsCZQX6hjDk6je0WqBIwnknV+19Iw5Yyx/jo
fUx9NZw9um3DkXiivxjNw08HmVwWNJzR355M9zCGQ4NMFAtyFmiPT4E3+lC3HhYaeNHyXTaxenE8
jSY8NnX7KChnoJ5XFlmwTSiz+tqnz44IRYBNcHMxWLK1p3Gvz83iQfJ3kow5qUaFj09dR2c84+RO
cdceLV8E1jVY791zFJFJ28LZOq9ihTWiqgVYCJ+X5IdodFcEDVy9LEjDcTOqui9qQJydBWTSARKY
GSwmQheS7Py+C2QudTVihwCeap1rhX+9oxpgiXU8Yvlczd49jfX8W85aHUcVmd8xPj53cQ1N6uFP
1I43rj7bcRAvvorGH3HjyqIWAdyEcBbDbxvM46XS8Xg1qut8fGWTtROLihZzCMinsNvbxDwTqn5b
7UefHcF9MKM6eS/LNr52OFAPdaQFBOTin4gi6Tds82L7qAlmtIoDXeZYZgJWwDfBir51ECwhUCBh
vno0HZ+s8slHE8/t00jxrtThRDyYeZX4GfcDR6w/svs+RF87ShL2OEgJ8y9CJe7bSEhyTnm1HGgY
TC9W8ug4crhNUMDl/ANXo8VqlHgK6bM2G0rsrwn2ZqC814V5SgFBwQte3UPQC1yaPWKVVxFQXBsq
pA9AYkDDh6hX+nldsfCJoxOpimh1yQtFX/tJIRsDD5RE7VtvQSjm5Yhxc5eE6/y5dhWts8lflkvS
jz3ZLxWbnwAqVyDFCQN0PMNWgUdW4oDPlpG6AMZGwx+6NUQPXgxGPeEHF09brwSrAkAZAZsSXYB8
ZlUowscgr5psIou+4hm237CzqT4sdQzEtVoX/VWTFNC/p4NpzLCbbSNdg0acxYLJLP+Pgv6fFXTw
/1HQ6lv/7X9aG7h93d9D6BRrbREYe5GPf3wlCn1Ao38PobE8NfYTKGQM/Nvuvn8o6E1bI2pG15lh
WSTYenRa/lTQ9A/sqrnRrBStBGjrf6udAgbk/9bPAd32I3oouyAJRKr9V/1c6wTTsYtw5c3+j3Eh
3WNKp+kRq8Oi7fZVAFK34OOTrTXdIykSdzIhMHSrYfyNIML6u8R4YFZwJsePNdiNixO92tOOJrCM
cVFga4zDye7r2j92lHfg7+V8F7d8vkOmmRR+lTIvb2xtvzp/wqHskM5hgRB040tLB51FXW3eKhVi
u4flqsb6OewCw0YBA4XRN3N5WD0DYpUaMmTYW4YlJbOb0/tmMiGe906naOliV4CAgW5KCEzgizDl
CMWmBeXY6+owzO8TjrirKGuhv9BGUGwzisVvywN8j3hw97FF38/rmJWFJNhHt+uFsVOhvSjC5iwW
f7CZo3G6YmneGNpHXrO3Fj8QIE2sRoKRSuDizTwUIzCkIbomGwNjjAnUXsGbMKcVnx64ohXSj8+5
R38T0nxDaVbqQw3ULJVX1vjBEb9I+4ixxv2gYWu+hi0vh10btempNrDwz0I16tVVSv0a0AJGGeOG
9dQb4dNUgRLo7LUoEauGse9+F6H2ocHmqOeAzvHHvMj+hXWSvi5TCohogrIcszAEW4StCnP9hu5d
CBI0gv6HF/luXVqd+36p56wLJWB5KjZwnm0MfYtj7dhvXL24IfYwPYHbm2V1X/nG4Je0bM984/KR
RE/X5gbr23HEKoqN4McCyOQTO4AU7uw1uBMb6R8rc+dv7H/ztxpAaJJ9eCsH0K0ngPlgfupavB5M
MFuYaAz2bkazAAXzCkmTN76D84oB7hJYzGWFKwkjDD3LYTa5t3UV+N9qC6ipH0Mo+21dJXoNsbtp
ka3t4DDK3lnZ+gw4F9oQFZXY1LQ1JOpKuiLq0lyVJSwO/+xvTYo6lPFh2NoVSEzYU7Q1LvqWo3yB
WjDBYh1tUeje2hlm62lM3D4auxxgcc/FcCt0qHYQ+3BreXhOVad5a37gBmdXUeGmbrplxAcIUBVA
yxkVya03Eiad/93eyiRiBV6QwGJ5Sm5lk20y+uBbA2VM6v4u2Vop8lZQqecmyvittsK3BotTgTtM
W6uF3wou6Lau12ZrvZit/8LXGVWYdWvFpFs/JqzirgjHoNvTKNUHtvVo6nDWhb91a7TskkO69W3S
rXkjbiWcZOvj8K2Zs0Btgnpx6ofaejspXKg72E0vEPtfgq3b499qPsnW+Fm27k9DXQQjGjt/aoAg
LQpCw9YUYp3f7kOUh+x29ZOtT1R54dGgYLR2sbqwFJ2jlonxe7D27eOEyquaYnnf30pK6AMhtLWc
GpsPusGzk95KTZOOwc03sz8s+8gRR6HaQ+QI5a0QZbdu1LC1pLgI1ku9NacmsJ3qVqaabsWqWlXR
1cxgtIG2YmGkToClVUAHyl21RF+ijso753vkkf9v9s4sR3Ll2rIjokBjz1+n03v36NsfIiMzkn1P
mpGcUY2jJlaLWZJKdfHeA/Qv4H4IV8i8Ed4Y7eyz99qe1p5l0RbPjeFS+WZLN3Rru/2RcnU6Jmix
F09Lu2sTF4rzzoLBknG/DGpRiZ1XEQbGGdpsc9Aa6ClR7BxyT7rmpkdY2GYGpsqgsQpMJGYZPcej
WT+arRfnfNSYPMrJ+0GWFsfr6JRsdNugmu2XLP32BkzLg+qm11j6VnQwGviPm6aOkx061jyAySy8
S+tqKhTd6qjHT23IRCuOTiuG9Di61Xxrp74rUfd1tmRxwvDH5GSOfVgBJSvGNoIUVKvkJJyh+ppL
MtSFYdi4TA0QDVyd+PeAuRz7HZ9A/BkPC7Z/MfjaXvNG92qUfkKub8rcIM3Uc5N51iOcqYifCnKO
v9Wq3t+T94nR/oaa9V5BBHC/mEt71uGN/S5JP7fgPFgsFlOSGBtMRtZmSHUrW6c4D2DNshtM7XUa
7pLWqDSiQCXkzRR61/eAqfuBqXUiKZE4j1lXRkuQm0AaABgN34CzRHoou7znMOeitnEWIqdH0XsY
cqrZkp+Cp11QDLz/pRhKhGaj3gHsWM6WJJ/X26+96F6S3Ltvtfxepa13UklHfsK5ufFvJuX3RfCb
zaLPz6qVnJiuh76m9Pgr8u2W22HzQQS2Dc0uU6FMfO0TS3UUFnoey0C2cv+f2+F/czvkUvY/7Ff+
iz6lf7Ep8mf/sWPhGghwxnB1g2ATF0Iuj/+4IdKJ4BNrXmurSDj7a+Lp7zZF+29/HI1svF0uiQIf
4T9viObfXBDkiHkG0o8rVpDOv2FTtO2/5pc9nTUNiWPXA3uNI5Ef4l/zy7i8hJmiwW8Tc3zA9tbc
53WLk93BA1bkxYdrDb9HBYDVYIeRK8HGsbV2bdaWvwg6FsD2kJOK7YCFFxyqjXDBoVmcbDixG92Y
LKJ/kfqp+nkCCDZOwtp4DTb7je4U1jHGH8/h5ogibPBts3avyyvePu0RDMIUCrN17lJPtU8i5mgp
UhfhwpKekXMrcks4h14itxpPXNEuhDeICKJ8jArrXrvBDFkFygSJ6jFUXvnaRDPSozNfXKCWjVuy
gY86Y9/KtIZpl8aHbjGGfd+I4Vql/rDj2+TcdTI9lYs82l3yMdTZ1fPsI2i2MHeqJegG8Fda8bV4
ycGVZcJ6GRWw16afk3Ie206dzR5JLDZaAIiD5Ak+vkZJ8cNZQ5z4zJFCcclvRngvGztXsO5kuXWr
6MPMdRzM8osRGMy03SIqopuSwew3WkR4FGPDbinNI9JPs2kM55VEyZtE3sXoUO+xRbCy9vB6euC0
49o+G128bd1kS2hno3kLyrhN/nqVBYZzLuZroi0vScGZAiS684bfZf+Zl3LXLI9DaW16XV08pw3t
bu95/NYGTJNBY48cMpOfqhZRoBPcWZZQKXdj68tWR2hJUkLu8qcCFhYLLYym4j7G77aMj3EkgrnJ
DsKO7oHCnPJSA8SRY7yukv3qbhvT/NsT1qEnvQAh7Qqo4ymbrV1DoB/1Mrs6bfk+d1MQYwHoWkcn
3mBr22pI4OtBXeZ3LLkGa5pk/ZV63OSImuhDeeaMfmgHhSlnelVy+UnIKF5vFs1pnrBgdFbPa25b
3608i8RwNnk5NduSYTyoZAOEbsGhgLnhV61NCdmqKHnSqrlON8rw43urG2Oulmb3pkd8V5apHe9L
t9E3I+aIlOHjWou+fNOrDiFi9WqmE1Ynv5u+U1kVF6G1Ux5o7eprQZZ4XqqKz68hlguKL8JHsdoO
6w6UwJx22K+m7tVSfXP0rEFduBlMb82g0iogg9zb+Aft+nGJRhZoctFX7F+ZHtpxuauI5jyVXg34
t6/IVaGRtbch7Zur1eYQO6chuetUaj6CX+oJ7NhtdCEdNG0l+96HcmTDF7rC9u7zTOkntKfhNR6w
4ytlmNdBzn0QyaYFs5w5n/3oV8mOIFpyNOe42ykzfqnMOtmXua7uR1Ua/F758M1blm6mlvBb6mdQ
Q7IT4axTo007o7TTTewToDebjA2BidYy9hCfySeECx+x5zbWu3tzShDohAAosi1wtOphFdnyBz6o
+n4mJ8/fwd7A59E/Vc94QBwLXA4f8E5U2E9a5jCWTCQhATZFmf/SQkj94UalfIn0qX/smqkldBWl
y4GQi/M85AnYm8YhsbVp6Aj58pa4q7YYM40onKvJ9IM2A4u4wQFueLgW3d44NGI20Xnsq1kb0LGc
0p3du7JiKQwizBv3SzsvJ+y3sg5d5tHXXhv8yxDV8n1GEqzDUYhmhx3YenD9gf9w1nOva/IqxVXX
ljEbv8n9sti1/SCH43/P2MS4MMK+YuEb3YkWWXxTTKP9FJcCoatN526rumi61Jmm3KBuI39XwDXD
eWJXPyucJk8Le5A4jOGPjW4S/ZY2RNnA0iWZCJyOkb/Jx06+2p7MX/3Kje7KSN8CcBgOmIDGU9qN
vzvdh3jPrsP4Xbvucj97SGQbN2LdqNuId9uBECCrt1EjQKn7+c8o9vyjagWYZmnJvZrGbg8pozww
nHTPcFbLW1XG7i4a/eaLVDy4waZVEgW4Hz4tp3Y+B5iroWvlKPndyM5xJE51m9n3kISZxjosRLNc
Sx48J99VKZukwpzOCu7vfb54AffIdtzUlT9f0Tnjy1QtxVOZNzgfx0xdsm6amyBGunvicCn2RToP
OnHVpH7g/PZPMQHDJIyEtO/YHslf8OTcU27anQWdp/PeWFmb7KqM6JIbCSCg3OlRRPtW3WPW5ryW
ja69Zez/Hi3CV4es4LzoE9p/WVua+aWwS4wJmoEdvhsEXzlnhhE+6PJ5age47BPg7iAVxXJk792H
hhkn91OyDGzsCQNrblmf87FSQQOy58kwB1DjOe7ZJ9mZEH3tKv7E5DMGds/0JYdpBWcWen9DUC1f
XYcA9AZvQ/TsGcSXN4KA8lPr1fXFUL6zNZp0fC8qrJMbydFwnpPC/cB+ARQp6yBDFnwMX8dOV6Cw
HA/bqaedMfU9Sl24l4wOgj3EEWeDpH5SppseJJvuE6hqvhr+pFptY6bk4JAn4Gg4eqzfxfHE+Zl7
hAG9sWu+Z6NenL1pNf3WtoFybHK88EE98XnsfHv61UwNy7kxcvTf8K8wKNc6lu5k0Y9aZQ7Yyiyy
d9gUwU42SlR7fFTd2e+qGpO6UtWzBiVNbOJiao9xlBVXljv6r8hU8w8wukkFO5dVfDbauMVnSNy1
02Q3b4RJnSTucIgNrF/Miii6tbHMbtihzxxLHWIafj2vvvjz4NyPdqI9YSd2Fr6rAJZaNpM/49gv
XsrRmn3UGh/KcFN0W1Dt3edY+SlWunbYDisPOcpldx6s2DrrBnqVOZjTQzwTOrEqL3nS6whiXGIb
r8Ddpi9oHYz7sXts7TRYFvMurvrsveLJsJv4+L+UEZb0rYqSKA76sTJCbyiSp8msP8zeV/s8MUIc
JFEQaVz0yMpN90WbkUqHkEpcOp1qHBqk4XN9C96kx7XmNGfpRpclNc5G5TGs+klzSZWmnnSv7fu9
PvAiNwn8/zK128d1Dg94aBj3To8ip1UVzspeuneQP6tyM3XT8AYNLrn8Z8D564DjQxHCZfc/zjd/
BTP988/8Y66hFWdFadoCBdvzDA8X2D/mGvdvvsG6iCW9Yf8Bev5zrjFXXANkUAJYIDj1P5CHvyvf
ZLbo5XN1yuBs3bcNYXn/zmDDH/6r9L3+9cxWBgI8Gr3D7/uvg02S12Y0xAL5yI6zO7RNpMMUKiOP
Ps3fA0aInzyIacFYdKD20S7xLVOO0aJ/f5L0CQu7+UjzYjzQI+LtWf0xmSSq2jpuKk6+szgq4CXo
fg9UsuxrQhU3TErtWQ1RvNON3qG7YBzwkrCYHdYVbcq9GIM9QnWsbcu5yLaGVqeQvVnpVnrefGTr
mneq4c+h0e1JPe0z6XV3gvzigUsFu2HxZ09MvisGY9+J/WhSfoBDRsBMYrWcgVuDR+8u3rtDsv9F
cWOZMXKuC2m/bJ6MSVlPvlLlzrHWddK6wjak41Gl04zsn9cVtz1oKbee0XVCQkMrR9JS8YcbyfHB
ryAeTo0/WAEGJrlzUqtXpNgm76vXM+PCWeF9t41iCMsrVYU1dCgqKKAhnBOUXLl1MNZ86Q2OufU2
2+x9VTevw0gQOZi6qvxm5PCZJLV8/syYQkjIr/wilsDGt1bV+hMbE+MaeVTCROakA9vJ8wd8Beon
hCEuKZh/cgGDg8q2TatRSiGqGIVTRzrbcOUzsVeUE/m4yCm+ZOQbGKI0/1XXuaQGXVn2xkaLEW/Y
T5e0SaSO9w69xx+3FjLVQ5/MxLdd4+xmNf7rfJoPMiqWz7gXeci9AnNu5xW+u5cUCP2KSI1EiKr3
uik7QswUlkSB0eeMbZHe4TZPbav4MlueQNz/dIa0nq1smbXGpU/z+tQUo64Hrh4VhzlK1a2YnOU9
ghq+QjnbtcrBM59dljJrBcrAz9MultVtupEr0MaS2KUCs2mqby2xo7tZLCOU1soGduGC6WufrXrC
mDWT2MDWq78CVbCecyeNHiRchw+MPdrBr7LlIyfjc+Em4e7GYcjwdqRNxt09bx78kYC/bC33PBMZ
PA1xd0tUnO5SQvV4BriTJj90nkLPuTpXtn8Uqhu2SQy8OtJlfa5AJVDV8mRNN6dxblaTsg5wzbBb
TYKy8W4qlg/1Amq3UN+TVzhsqdzN0C+PnSEPaP+Qr7J7Wy24tNEFbZNbB0Bw3kDnQdmsFTIIRXOF
2IDbnufZCIt3OgPe2uC6DNGOKcxxngXzsoXEcj9Npv2LbQ8DYPIw8bfqQ6q+2A9N5Kkf2WB/U0EB
2oFGm4LAVJe2fJa9y8hVEV8bXKZ1DUxPwMiVX1Msy4pLIxx/kyZJtS+8czp+uP1PHetE7RSssbzH
ZnEPYnKfbXzyRAWmEzf7egv3fdtav+JJ3yjZhNwDggH0pJZ+MFxhsdBvET6Uk8PGfBzSEoqZSo5G
JjMyg5LIytRlOwEtddPlyJQ2cfpyMACJ4rwPeseFklR4HizTpbykMYUnje4SI0zLl9ZwgdFX8DTZ
qJFxKzwBm8osgG/fkfCjkqkwzyS61tfb+KolDpN4LQubpVbh8+/1rdMNzOotSwF2JJiQYHTy/xbE
7G2v2Dr2chj/DC2WtcW4O9GkFbEyc2mGsp1bjEMinKRzWCAlbJrVmwPcAYQxaSItfytUU5yG2Zy3
YgQLIR3F9xl2zKijh6x1MX4/b+ipsjdl25JndfvswhequeIgu8xKohH4jDRRd1wE/U6Db8PhTdtd
TjTzhcDE7yJtX1lZMi7BMMnK4ZysTnp/mPwwU6V31jSI9QqlhmTQJ5rdfd6Ze03jbcc/v2lhiCD7
5y+Gs1yrPH33o+EdZAbs1Pa98Ox5g+vtAPiuw6qY47yZ/NeKyJg7S9IVZWsFUTd6IWemcZ9Y6Sf5
EZv5lSDHsKhncEjTSQzRD6uFDsJdC9xVgY/Zf9Q7Caa43MI0f9IT99TBsLlZaj41JEhMN5lACCHe
RDGlQ8NCXUVxWH3IUpVXMMQBZiyFUFLfTbqxjWwfFBEZkcrV6DHCFnsW8Zc5k/Xw7TOnM9GaDOim
v5myJ09DdXeuZDMRetiysJ2xge09a9QvDPoxa/AEk9p7nXpcjhXvSl6ucBle+t5nD5pGJGhjiKOe
Pm6Iv5RwzDy11T01HYbcct8YPLasnjdxjbFCG48d2lYuQvzF5YVcH74kPGNu8k04IeWzGpuBhxcU
b/SNipB7sTjvIlkNqmnyHbNeVEokkJrwNnu8YtlS/XJHeQaTcal8/50mtlOH8zMrm1ON1QhRr312
LHkUMZJbYlRyR4IM9MhQGDsZLXqIzSiGpjSGBIbfTBzOgTeyouhIsuHR2Q28JoPfPJiZd6Hn6c0e
wXobnnwgLm4EzvizzLR9bCewLqI3ammIbSqZHEVC9mdVFj7RS3fU7YRzZGXPhp7JLfwe+u4wPQPm
Ja3sW0V6yiPPxuSiDgzknCuF/VKp6OjEY7olDlPvCNaNWxZeNvCN6sgUyNxdtEyHHevtqKsBRIOp
WqJyZpge4p2Hye5QmsmPKKasidqcpR4GxCU2KgvZx502mc2Nb/mzFES2K4LRpokhVivaC8uxFf7o
mwFUtYWDV5jbZiFZ5liJ2mAHCkudrSJPuyDytUtkrwgbe6RgzpqdQ5Hq2ZtwE8iSFK3dJcLo1x41
/7emJ9NFKuHV2CsXa9+CWDn0vvnOKIVPNPOno69TGKTSrFY8m1rvDuCGsrd1q6f2EWaN+asqlSt2
oCGMX2PqLylOytm/YcOJ0CsFW55u9igzySQpI9a/TBRUebQlxmPSRDHJ4mVptqZovV0Zd/wgZlkN
CLH8tw+FFc1HW1fp1VgyLExx4+0NQLx3c5yTWTQSZFA/tR+FUQL3GhzjsS0zC4nYV2duk9E92i0z
vE6MemPoc0Ztg7/AwmrY2c2weN86X0Rqo7SswVnUOubeEt1dbMUYcYHkbfNEHw76ol3YM+WY3Ur3
MtRWc9QbTg65JiIHvM73/RxPh6qf1RY0fYarrP3ErEq/Bk/GLWzr5ceqA7I2z8zzUKQ3duhqN491
E3bS3yOwlgGJuF1cxl+ssX47QobQWB8siov2rtb/HBawPusWcGe7yaGdmr1t9+keX4G19QYyvwDM
RUhW4lzMafohOgogYkOM94bL+QMqZQhS+C1QkzCt4oQNwKcBK5oMufJHon0eDW9ZHp2XeEzgpvm3
dFDmxa5SxtqxsH5ja1VHXWkvChQEMivXFKAMfhg5HM/aGP32cLUBHPyu8QHT0EiJTqab2wQajF5r
l7qCyl6yPTxYyRTOvvFcSH0/9yZ7yeIbOeeYmQudlIzroTvHUFXM0b8WvuUAnjSeExaIG2qGkmPc
tw0OO1jWkQcSLPGHYCqaalcO7s1FRWFZUV5zGuD2LdnYrYFZpMcixI+4jiRJe7QqkuhpIQ4Ln9St
mWb+3TzL5UL0G19lP8+PmjPqN0kGcjB6eTTzJT+LfDavKXL2zo79N+nJi1NOt7qMZEi8ZetZ0b4E
MhaoMj3h4aUXpXniXQ4j3bsAfPe2FIN6YTKsXwJ9eVmqNvQM41Shl9NcCfGcQqQgEVp8wHLQ0D2z
vnFWFyRpvEF+i15GGqbAN1q3Iv2MGjDLnOSE3fMgcZDFc/8hac1f0XDuvCnU5XCyzREcLFCiaM7e
F5MHe5a+66lz8rPiLRs5Iog15tgZNSssZ6fEb1KJTaubaP39SAFi9MxcydFC3mdbIhxu1VCl14m8
w08jncMxE8AvVXSfq+wThMvFFaslSVxlSWSDEBodRjqjhJweu9E9g4Lhuv/l+Awtoxvlz7rZvUqt
ubC1y0gtIEumOIkMRV2BrlNGkxc+F1JaNttyDpJK7e34LjMd5EFWM6jYRibAlhXjrXCJJM9NOFlU
q4hWTmG8lmuSpIZCt+NUo4iNXrW4qg8iojpoVC+D233w6d4trnZRrrdpoAGoQoEqn9vuhppzzZfl
rDVZyBS9wWt4FBSNDUkfDuB+0EtfPKPriWU67i/QnenVF7ICltNectvEAm9B5yk4qSiYDfSWeh1D
vkZTEqiJrGrp0EGkotvM9JRGMAGlu6sreMOzXF2OEtCq03+woOKi4KGBmmWYG3YIVv1qyOxjriCR
xvMdoDB955rVeiPV2MWX9dbKnPEoTPXSms0jDvSd7ErC+mPebMWQhKrEJlPirQ9igiIug2ml19Yu
NRdqJqTxI/e7OIiQlQCeJOhZ0MdKatwiwRsS3Q2k+CeiGCwkj3k77nkeJ08jd9YHNXjVJk6ycZsC
zv3p1KUCcQYimLB8sPR+G/ilbtC1OT1o5HQ8vFThqKprG+ESgWixdaDYlYu/05heH9l32re4ecZL
+ilzzDh4+HUqw45AwsMcWS4YGkhuvBz4vGptD2qBMVsbuG9NJl9Zw7R8doS1+QiuSwZ1ZzIXxn4G
C79MMtTNYg3h9jG27dlx5DHHeEQ7reY42klQG/vYJVQhbGwz0h5Tg+Bs5bv9IXFsgrPlGqSNJZVb
BOUnFAzYV9tBR6Pggawdlc/6qNAjUMOO5rW/5ULAIChpMRqC2kr8n0mafknwT7rt5qwTBes50Wtx
AMDOO3SZzfO399isUndxNGNrOsZOLI7SrKOX0imzvWZqy9mW1uk/UtxfpTixujN9Qazxv/cavP4Y
m//9v/r/IsrJH/t/RlSkLqAXcM9t/sf/j0mHhe6bhDEd4QtLxwHwd5uB8Tfd09d/TD5+kNBXZ+vf
5TiNbKiB9+APQB1DquH8W3Kcp+NY+EuS08fS77ngIHxbN8xVrvuX6h3OhoEsYe8GbmXLD9l29Wdb
2YTpJ7FMO1dPuI0ycJm/yU4zZ4/WEj3CWhNnt5vsh6ltxMmolTjNtmuFRkvYU7XdhK68pDznHaN6
KUTKrtlOWRR3Sk/OpA843dcPf+UmJOB1pwUbXPAAbtNHvuMDQ/SsY0XN0m0FsR17VXExU3A01SKO
C0t/mVHOk+bJlcq9tbkNhrEzOfKlKRJtP5K/oqFETDCrWf2yCcyzna+PeVh6Fd9we7L3AMe1kMsO
jEKMdMeawrCwTAq1Waw6aqGMk3sBakdWRq8M441ZOb91OlQo30+JZ1EUmmnxqXXiA/cm9C9xl0E+
zYz2lWJLGRoVvtUik9Np8mnwcFKkizWaNc7tnaIOdLPoMATY1/M0ppPVV5R+TrjG9gZ3G0OnUq0b
1RzOat3P4O4kit7/4vIERxJAEoQDylZZ8GprPx3jmJlTXtQ5FcEr7I+SOpltms0Tw42OjbiUgBwn
s7ubcqfBM1HAd/JSNvBO77Jc9azTvNTxtuxh78U86bNN1wwFAcacW7lmJ5eKsqS5dUMU022ytJjW
2rCjRTyy2KAPW2K+e+UWt6z8ETnJT7uuntDCQvxs9RPpNnuLjrfu8/qSEjt+Iyb/iCtqAWd2o81d
98szeqxvZk4+xVcfSbEI5JGUckSJLMBTmUVRj5kB4D6dS9g4xuSLLhEc0rgKCRRkqhhCqnK4O86S
uxWDVHytEmwPW6PQ2+kVe43wnhQkQrKpTrwIn21WysU0pmQqZff+yK9NNFS34gPKYnvshNavSqJ6
wNfoEDP0uzdHlEzFREK9wEGe4ZbFxe7BpNsksKJI/+H7WfO7qilJCZqu8TIUiLY5NthLjphExeu6
wHynoxU4P0mpfYlZhvtZoSmu+CkSodG6zndFWvkMiYR1oGAXaWcRHS+a7NtHH2rqpXZ7kDppVKaw
yRtx6aLIfkzbdgjz2rVfeJ6JF2cserFfYpqpNpZJXtFMMn9XJulIDI5N4zbHPPjsNb57bqvevZtb
rWW7RBTExln0g2BY9JBQ3XAG3cRXz6rzJaiS2Lmizg/7avbtPVTPnkSh3pWYYkfv2UL6fZkX393W
lFFdsTawluWx7d+ynEikVg/LE8Bf5yHRUz906NvlNcUtdJM+lb0ENtMDN1mBep0t/JRS2ntV0qUl
Ig1SJ8V0QCRsD0GL6YrWA12p0MkVLx9bVYpvYRarcwJ5ktwVldeXelnsewrTYbeYqRtDRfBNE2e3
QztzADxI+zT0iFHOGf33ZqBFuGxoXVBol9TwGGn36tdOH5r1glkHEYOT0EOuD/JGVM8E50ZSqe7Y
YaWkgpRUyciCeDevgBKgLZuuNb0NCcuniDW+p9NYYBQs5Ls/gBPuA+4QiD/gk8qR3WFZaSi2EX1p
blq8+CzQg0z/Ua4GVHAk2+IPTAUc1JjcRytjxVzyp7i9J7Ib+MUx5RsPySpnIwqXJV8JLTb+ej/w
Vm5LTP1PiZ0ynm4y6rAk1SvixdFQStgW2zg3MDRNh3rQoAphn0QuRb1+zKYBrXvG1EoWz/2OCNre
EVQk7zlJdc2BeIwFqWyvuBsS40034+EooEsbami+u5yMbFxe7DmvN5rlBoXheUdP1IdJIaPj4trM
tR+Cdflif5pgzPXhyntMJ13Em8rCCA3VLaOddJfrgAy3HT2agWVNa2dr9f1LOrb6q1x4vNSe0uk2
qugRkKXDGG8A6SC5HZgzE28/2XBKTewlzmJjpcGHKcT0MLn1m5F4hwZJZB/pUbtPNZCXRmd3hzW/
HbbMb78I1NXvpV4jaRG7TqvpIHprDoYKLAiYONFoV3BJIlSxRcdylUCEqfXiQM3TyfSyDn/Qet3l
QRK6Eukp8/OIb56V78sEycOzJc9CEydQNVoI7iJnTqUl84HwOYJIkYktCQLtLu0wkCizKA9p21C2
mICpEkXlc+2HmltaurYriZIF+mSXN9aAGgNrGt9AaoIAaEGoqGSSYVEsElUI9TfyUY1tMQO+G9VE
1VHNo8JMVL9POPg3osZP2+iU8E6p/erU2vzgdATYQRGSLTypSVTBbNdZoJtTtu2V0V+pW+hg3xgT
cQdFD4Bv/XLL+8a1jO3IEQinObJOSVQAyDG0MXTipL+TOQLniFdvr+UTz1lXPJv9gMDyp7I97U6p
ZedvRLHd3wnvH0qATSVSaqH9rnYpOn+bXLTgz9kxxoHAVIBe1hnTi+wXZIgsx8secK3/xjt5iBwn
fTbBpMXNj5kWsW3dddTR1XUrLjUX5IFq1EyiiQsHwUjI+iGBtyiWnAWXrhrIUAbxDKQiBR2vwkTo
G5tOOtsSJ8LiupzbksK0wdbZmmlesIyMmxk3QGi2vMy6Lb3TXA32jY3qvNNSF5+Pwv2g11dTzsHY
uNVemQs1rmTNCZSXAfnVZwkSgbvLlqDfK2em87mgQ9DQUBmIbUO7c7LIO8xTa97yURvOULS8AHG6
YjhdKMStPe+JMyi78ii6abpLhbOMlfNlt1nz2BfWKi2ODO19ZPQPAsv+2TOTOrQb5qnWtNNLXOfd
g5RwMZsqnR5yvO4/zTHhm2Vnb3XbUwrhaHp+STRzfYWwet1jw6w/jWQoYSNadko0e2TsiggO9M4W
71b5SN10c5QroQGwQB1Gi0k7W5KrCiqNfm/mzr4ZvBiwRV882j5VpoPmEOyzlD9czJUCMeotnIM/
aAjT74rPeuVFxHE6hN7KkBijpHuYsoTXG7aExil45nBeoM91ya2dfdqUVxKFSJzuaKx0ClOWnxje
h91ElvBBJ9/6aKAM8vBhAfoTV64G8BjcxWJULdoUXM+7hMrJe3sFYwAvAfzXActAQ1mwo0YIGoIF
Wcbn/gAUnSG771qclXZ7yDXfC80VwdH9XxrHHzIH5z3UaA9s4UwCdluY9fjQrTCPurSsixtprEJq
O5tP0gPpsMkmHw7ItCJBcsgsFOCsoBADvv+yodQmC3rT8wiwtIAb1coZMeMJnxWtmgd9pZDUcd3x
VRzsAtkmkw/jyiuh+6d/4OZX/spWmompwRLkgoLPpTABVfzBnrCXNx7BbQ5nIbvkVHRee+flznTg
A5OeGGc1HQQ1Kxt43M3ZQu9NWZogGWPHGwyqy6r6wk4mR2ekZI9yhOKZpIq3nQRnGioThzuyKua0
Ub5FYq4+6TrHAmRbaX+19HJ8NDEqPq8DAxQEc8YMVMd3Tdw1CaDj0r13Oj9599AKr7GN7hkB77gk
+pyemy4XV7sV+VfEBZiWhoFr+VQaH0tqdy+YAgwWR5EmiNNwm9v3faKOlOxggsoZPtZOBOwBohmS
I56bricok6pt2cbdfrbT+L5aSuiarb864CpuJbQeVwneaZNEKfk2FiEsbNSdq8zPBun11VFw7mj9
oznKqjNizKN9FnWMAOWzIDIq23nWxWiVoKDL5EXTyuy5NjMfRxsMO1BvPKz7lXKc4rci55TzuuXT
MvA5iJJP6bJ+96BsXmfLLXhGZ+67R0g2ILInkGxNb2FpMNO4ZirepUxoHFmVKeYnw4NMNxmN+qHn
U39MXAh3gAYk3jkMUOItZU/ibOhwH8ZNV9feozY242nG7X0zcCfuEtS+jEAuPBYuKxqMbVhkM5GM
IRoOoDoht9D3wMOaNojNNKFzJt3CTKOqvHG2mAjtUKvG+h3sBqpex437lYTjWm2TwTPd9PzoHx6h
jhegIuqmZ+5yp9Rg3eeVlfKVrvC3k+OJXxI52hIoVtvd42nkZtTagIg4aekuFIl4EulcaVuNtM/F
iYvxjGKjPyDIprs4/j/snVdy5UiapbdSVu+IgXQAY1Nt1lcLahUkX2AMCmjhcOjdzALmoa2XUBub
DzdFiBQ2Oc/51tUZ5L0kL9x/cc53xuhgDiMbxSIJS8ZgqMTxRmvysqzUrEhz5XVtud0Nnp98bzty
QCQxjuFtU2ONIs+QzCgzK/1tEbIuXirDKlDXpXy6p6i7mUhARSg4edRoQ3rjVb1bzttMd1gUxGp4
SxYtfJpa9IJbI4mra6C33b6Mez4/SmjwukZyEeLUiZ6zqoyuHNzlKxnOM1BYfka5560jeEglqfRV
RFthja5aG11MBHfWd49/D37+YPDzpyKs/8xfwMK//N7k56vBhIA8BiqMVCzD5cLwvrUg2/wnQo6R
P7Al5kt+Hvvon2aPGJoo9MeuRfayZX2NzdGwIDMtQjDlGbpvMLIRf0WHJbxZZ/UV4SUsxzJni4lj
Ct4cq6EfBj9u2sUq82Mw+2w5LqMg7Vtx0OXY2s89nRkqT+A8Lhk6jNSrmprIxdqBboqlxoy/ucgn
UT27pRa9xXRErNxNbYwJWw/TiXiFOLxhJSxMUskr+VANbXDWVA7Bw1XWoVtKZHEvTiMipLnDzprn
RmIy7DWGP2yc5ZQ9pYCPlsIG9ygD/Zjiqjzra+slDTr1hHn4tp2HUt5pPoWSZtiMtk/u86SP1RVS
x+QB4Ix2iH1pX5jz89BWOqCpaX5K2vl5CaQYd2z0eYjI++CBwlJW0gvylJEdEj2bp0cvn59CLlax
alx0oSAq58iH+XF15ie3jorRW44T9+YCADIiHwyi6U0zP/FFOoaftabpbsh+rTaBHZlXVhyzu04R
7lLMc2gEfodf4XSSZGgcGFKAygafzVGjDUV/gyFYXpfKmz546OXlcDqd6lovbgrWk9M6tQf/6MwH
WU1xdO3Mh1swH3NIlXMNRYeh37ZQZrJF8tORyOGozcckabycmGI+PKcxJSxs0PL4qMqJaDitzO6d
sgWE4dXBzp/PX4kgdTeIyrgzi7Jbkz/g3Yi29T/L+cx2+tDEswc75REynbMeTsd7k4/BDJdmuL7w
6zraZfOF4Cd5u+tOtwSIdMUbY3xwtCP0EQtFO2bAqeVmicGeXLh22B7UfO+USdFi4msyUOj66Bif
WQy3+oJGnAuLTGC1H+dbzJrvs2Soxtv0dMnZ831nBcRO4r7kFmSSxbVNLcjdON+So87uT2VmdT4h
Stj4eR0DbzvdrPrAO13WkR1eEejQMKbgOp7qKbkb5iva97vAI4InipCH1Vp8FsyX+4ikbxsWXQ0W
U6YbvZOtQ5cyFwWtNoTomDxpbetT2TCR/aAWsWtpl9lcV4RzhVHnAjVJxBxz784VSHYqRohUpTBp
5hplmquVfhjwAQenIoaNOtEiuRHstVOh0yCN/AKwycCFSx0U2Eh7o7k2IoHJO3fnesk3B/eKl6SI
0ud6Cgz1tPfnGgvrQ8gaj7qrEXZ9Hp+KMdMLy2fHCrvP6BvTFSwoCYU4+xI7ZbwbwEUvormuk1VA
JMM4pOvJ90ncS+YCMLdlyBhrLgtLUtfPIIKtnMQ119Vgjo+IiuxtT0D3kj6MsRolZenF6VmoO+VT
7JFNuI5OiL6ppvyBL8ANvbISVKrLbJgDtCYKieiqI0H6Op7xf1go2mu79KsP80QHpPMtro2u1T3G
jzE8fj/QDgidMfowe2+ML9LE0AU5EaIprVqHMcPsp4um1cxmhexy/IwHuH9IfCcWK6zsdbqMqxDx
3xAx15SQDF0ejJ7ORE/ytXdCHeJ4iC6IRVn2k4VTdqYhGiUMAUafzqVTpj7SqlqXMBNPkBBmbQBD
9Jkd4tVTS5RTd917+ZNydXtVpSQ9dyfGSDTjRvqWFnYRzBASggT6lzqR/U5BaMOSJD7CVm6k1nXr
3o8ZL5MM0FwHA7qT4GeuSUOVqWOfZTYJ8yQzPOQJCpksVRK26o2mJeHzIGdISqXjM1wUps3jkjoq
u7IJnAe0P+NV4J1CWlEzdCUeOgJjdDttnrQTlWWKQmy16Imz++YnbosOb6apCu82PnFdkhnx4mpW
aSybOosgeLG4uyxMpd0IsmyqRWYOvB/Tkdlll5dMqbKhw1IRT930gBKLOFS/yER+cHLDesNh5ZwN
FMIrKtkGFdVQ7bpKQREkOZC2CXLAHZz/aqAM1Fo+iB1jDGUEsMGL3j/mSaBfkBfpAmcMtKM+ts6q
L03nYJmCQDjDHA9a5dvXHYHbV6GvIkQEuRWfexh7lmVTxx2bAhU95JmVHIVHpBkMifwLQd2kN4iO
zyKZA9OGmje3WCRW6s6oEsZ4NqHRIyHdbXGLwatFAER1/jrYQXtmGJmeLMkk1ZHRFYP6CKwu/ohj
jMlCSpyBPnapA2q65sJNDWCROQHbPY8ks2n+tkztykY/l0lvbkjts2OsXY19qJyBPNh2NA8g092H
2p+omTVWJ/2k1FuWeROc2XC61dJZaFJwACw0CS2prJBrAeiJ2StXtXwEZj+dBTbSkM6qmjvsJeMX
Kox864XRcBv19lWfWNFWjJ13DW4gWNBReOT6CDzp5MCCUSSWoSu+oAHvmOkHCAvJv/jMAJFGrOn8
7tCGqBlChHv8UlLNfurKDhhfxM0O+qzqYKSxlT0ArkzBmPV+91SompgfJyTPM06MiGlO1U3vTBK1
y4D9ySUJ7OaxKDRzE3pBfVPr8zcx2sp+j5EAn0+OOeyqQXWXSZchyaw00E9jNhTDih6dUJrAgXNk
NbnPgG0Imc77XYek1rgonR6HOjPHHSuk+PMgFY4RbyzUZ2sMvH0MoH6Z9YnqaKUQjy+jET1OT2If
J7dhyKM91gYsQlhgr2PnYpvxLP8J4Rs9U5bn5XriezPLisk5xZS3J/dt3IyIqs8YchF9xAPbX4bI
FuHctZAMUBFeGkiHzqZQT2uuUjlkC6wzM1Ut1xFUTeHgviFPjtb0HDp5Gk6i+L1x+W9rjkJ8UYQD
LyZ23FtuIu9mjH39JjIsa2c5ImX7nnZ79JbTmxZ56Fw1VpN01YTNN9jfOYBCDtm2ChA8yERN95WN
93QxjWVwVWoqetfrMPni1o76gCPWbrEiikesWO6iBBj7akvUHAk0pZfJNMtiGypUf8r1mttiYsip
LN2/6Pk1bQucgvdhpbxD7InyXlaO/WZmTXko0eiCvxoMEDUDEsvMl/lnJ/UoaPK0CNAmG6jM8O6Y
16ZuEXmXpVFDoNnAfNz2wlnWOpv7tZHFHnFkosqvTYyGZ3VodZR9JHWNRe1z7yg64iFJckRWtr7l
3dZoOoreWkR13V/XjW8RVpegwGuUYawce1I3OXxl8p2qCZU7IWctaVV2o6NDKjJjXUdtdt1nxfCK
2hqkITgQ/9lHoOwuWlNjieF4E77oYLDEmUjN9sLQNGevTQh1lkpLive4yos7vXKxrXUMpfZT05Cx
onLHfME2PMVLXYvGswRXwWvB43h0UIturdZSOwc9EnjZwrD2idElEmWjFZAN0RB7R6JfWm91punD
Fl6QuUfIbF2hUszPekcgn8gc4e78aBSwatOpuo9aWx4T7h9zFWZJ/RkzZHA/Cb++KAF8Xigjsa5x
VU5iSTEp5/DkWe+rD6Vcu5Wfv4nQLAnXZrbqqIrrEyZRdwhij7laWiVIXSxYZ9RRmLIRQLQTMx2B
07gQA1phWwzmSh+IkpBg5Y5lJidK02x4Tnrm43wuRyOdP1/dHf1QcVONZfMSY68kuDLLh3VjpHI/
wJ07C1J7zJdwU4uNzWKpYyXJzkrjL1ivRqr6VTIJVnwqx5GSNgbHFtK+itFR7e3c0s/vqx5ZbyXC
nspWN4IvOZPVQ24AsPMsk/iNqCA8aOnCNF81PGcI12XI9ATFuAOR3iQ2jurAusIsTGb0diiLCBXv
JCwP4GFE3Jl1gNCk3eS68U5YGn9cIUdGw4OCfougYJ+hHGFtobD6BubIEWFYLSEGht6+gci1ueDM
kgTvqpiaOwRAMPaIC3QKZJI5H/yQ1xbr1hUTLF/EamIlaq5GnqbRqZdxTqzcDj67qZaA05OGwG+p
fSlQkK/+njT8OGnAueUJHzDZHytMlv/+7/qt/PLyrcTk1y/7xfBlf3Jxbunk7OKypwn/6vcSnxyg
id+MIH6dNPifbJuRsK7T+buCxv2rwMT9ZDmuSZw9/C/b9vm//sqYwXB+1Je4wkPX5nhMQQRxPvYP
HAuUJyaCr4o1qx+qG7f3W8xMWBOqlcMn94i3K5dLWfB0r/My7NVaOuN4bRVALJZNMNjGAqi5oy2S
plb3ysvC/UjPaS8hm3FWRUbtvg50YI/kqlApeD7rIYr0LvroRQEneYIIji0oCRp7m4RRnqESsORZ
rBv9tIYxrH+u41Yr0My1+odRTCPLJTdkAGplgTbu8fX3uIJqs4z3PlpcZ0nFz+togdPc5BXxWiuU
YMOwCiAgn+sAAwaO9bTGbiGd4cnzW/1AiFHswySdwmRfmmWXrf02htgV0v6QCkxGlLa0ekSduWcm
zPLzUvarHmuBSS8beG+uNNkZVmFecRzhvMJfljNXXQkDdAYCXS+HVIpUFr17F3YW82fNIJspBSgA
B7pqZnxn99DmhkzWBPkgNuhrl0d4HBqwDY1ZW+DHajAYAjKDtXJLt3nyR08MS6INSSsioDS6abUI
w62wOsohtw8tuayV15ybxhx7o3OkPLXZCKAJZKkXLfhiJB9uj5RzFadNQa43BFIKfw/ZMhIL8dCU
Vf9sFT2T0I5rbljqTW1rlP91cC6IX3mrnWokmdAAVVQjR0zWo5wooAZGoPxsmX+Wjg5mIh3nf7xq
U/q2pZOTG4560FaYjsnwQq6QS+NQBMhqDglxTTFTavwO2zgaIpaybqtnqNTN1DjYiHtahME+I2m3
6LJpI2UBcbghl341NSob1iWhJ3tUD0m2MPA58/VpFUNHTi1casqUyymgeluLNvAwdudhaS7jILT6
A/kf6qEKmRRvqt7HbdOiXHagzvbuPa1uF6xZ4lVyHY/CHtG02loA/qzQN3A1a23ZaTEOqJC73lho
4OlGJnGdaPYp+qhNOLZZv806QMjLiAyUwv77JKYxe22+P1JNE6bjn53E/9lk//7fRRO/lr/7hd+c
xSanHRMI5rsmaW1fD2PnEwIt0Kn6VyLlz2Nfgxh1cqFd3eC4pZJ1kA+qsm2if/3T0EmCIEkRmZ9v
M/X9S1o/5/uJr+Mw7WXhK3QOacsxeTS/l/php+9VYfoJAALAdywYs+I6p8QYtxhZmnDtWCnLRhwi
OZ421nYahwtrWI3UgmJLJBV4jKDP00c712hdIKbxrz34rtVaEH4eLy0sL/vAH1CHDwait0XfT7MS
ikKiPNiU1hQ3ub3vGzxC6LAEvjRB3rrXeX205Pwc5+UW/lPcywyOJ2ga5tpBznUDAA0ti/QKiaVh
UuldwMGxn/TK/lA6lesC3hD05jArjUOILHEhlZj0TYV/ltuj6x8i6atrC1UlB3CTb8E5soehqNLc
pcBtiZ+kyrDb81NUI6Qb8HhD1edoXTpGm3/LZ3/zRP0kn523F39c3Ny+FM1L8fZef/tEff3CXx4p
8xP+ENdyMazraEdmXOsvfnb7E8uLmcI1b1e+rlG8T4Zt2cgkDZ9/T2X89XnCHH8ivEKucp0Z02X8
leLGNufi5esOhSfK5UNCmYREV/cowX/YobSJZoHly6dV1KnqMLf0dCtO6R7mffiBK8hdkJAa2FtS
LunHpTbQpGoTexImgPld3FUl9gTE+DMDFQcqLFDmvwg0erXJTNd51GpT4ONi4Id5uLtN0b14Sycu
jCsGd9kmyqTNxJzAxle/KdPtVFvts9254RkBRT34SoLQ9lmEK4EOyedRJujaX+ptnt20iRgATg15
8hp3yBoWqM3DBybFxSsCe7S7yjaT40i839FThAlDfOZBG3NoQrFjjudxLPSrNvocSNNDUJnL7JGQ
x2ZlRUazKxhXIvn0Y+BNITsOd4mHXBgLG+nE+2C3ebUsAOOmSLOsYCIf0dHWvptCiKrd/k64/bWb
19kSZFWIcpZx5Vmd5eMlFd50awf+bSAC7MJ9jQ7F4fiy3ZYFRG7jmFyU2qw4KjVxFcnYWjlZOF3q
kKzEoobCt4qZCLxCesKlK+oQvhdZkdNtmrRo04Qb4WIqR4j7ebezK5QZg6HHTz2rGaACtktZiotC
YEdBqtMglEC8yCJWAHHxbCkhLaJCoiZ1mg2g8+rMQk3H7ww81kHFhFPQV1Y19RRD5zLyuluXl93g
GYE33cDafwqHfESLxdR/wwwqphUvLXkgy6m8703SSIdJ2pc5LrdghbRz57dFRcZaNCKMqFIYSGTw
aIZx7gsFx1oONlD8MRYOskTLFsfK8sVtLvrsBhd7zexysLHQWr5a2yq8H4mQgTtCc7AgRKzF0wrf
453MBDgvTdqADgGMcwEw0X1pdUTaS4Cs+dXoT9wQkgLkCTYDIinct+OuiBuKesMc0ksWITYzXL/7
rEcRcukY5JvfhNnVlLFMQaZduG9lxrcT0kmuSKpnwzhhJ+mmD9Rv8TEsjWlXUmu+s6FJj8jDte1k
hnTfWptvWLS3TwEhsOd9XhA80afBpdTpEdwyStKlLWexnsryaxkY1jp3+ENNrfHoG+rgp/UaiQJe
EsdtUC0RBNbZq9EKkdiNFYPmKmGkbHMLsor3yMVok/YdTQpea0Ur1i8yq6IrMcoiXUkkowh2uD0Q
ITvJjWVV5Rmfn5b0uKJobozAKijvc+6fGab+jCYoiJamzZlRB0TvMCftxGM8alO16ONMviKC0J/8
NqQx90ZoEmvkedLDkx3ClQgDFitFXIPrdKcM4M+Qmdqmq4X26EWOjaM3MHqwy754lhyERMu15Zjs
w2HKrolMYb8y9N6lqCQiNbePduYIzCpNhGLRWQGRpoTB1K8VNewtCzlb1OLgz+OpQb7XuIjly+EO
HCnxdPa29RI6G1/iBDLQxCZ2XzFUA8u8j93BuaoLazyQc8xOM4hesBNfsPQQx45eDgFPAA6fyudh
qIzokNhddsvRZR0nHQwhRA4AAZHSL2GpJRu3l2LdhSGW1SbV9jgmZ7bOCAphSspZjposYkNnajy6
TY8c1AvRIfv1MnFqPgBaSuZjamDE112sgZA86IKYPsloIKek7E1+hygQh5D5Y4Ps1EHJjyaVw7rm
N3qL1/fYlQzhEp2QPWsG0E1TdtQz49DyIQzwrm5oX4zzwhXbMaRh1AXpP4HUmOtEkDVwV+AYtFeB
CFlXMnJd9baYVng3q2XrE4ZSlRbjnxHJuszwAacliQNox58TBKULfIv5OZwRdewBGC04SOesc0tL
LoAaN7sW0vBbSg4mH7seap7HFt2sXHHohgmzf23jAJ7z85yXGTecQ5CkwV5YWCiZWVIrstPAmkfS
RrV2vcC2mavFyTqz4qM3+sk1/D2j2QRYk4x11VvqUTJWRx8djO0aUN6uQOFzKFtTBpupyGcHdpWW
eyUzbcUVZ/JO8Z48oipVL55yy7OqJOfBI7MC0OtG4YigHsyLY+kXHuuVuLuSCPwuslABKne1YkcC
x3OTg73VAuulp5Z8hALr0SWHEpxCF23SmLX7bNDaJHxyIHiQGLgwCP/cetTcG2uwzmyzY5/Ch93Z
kATFn79BdrRQXeF/sW3UW9kEJcBwZbbzG9Gs9cxPtuFcboJ5ULlYuLOgPY85m0mOnpf8AZpNwBZJ
Py6Bg2DabgrWj6xt1F3sITvCejEp7pZhFI+SmAEweRjnJYNl2JKNH7E1awY13M4py1clFJJhzTZM
R2uVKA13p0q0g1sGABFLz9w5RgYGYMrbylj5eVDe2no7+XgxuvGsYQedLNLUIatYzrg+EptOQ2VX
ZxwwaF8izPjpKnX0etfEY/xosphY/D2t+22PSOFogen/44L24qWO//1fPzSIP3/VL9WsACBLB+YT
cv+TH+xrNet/0mnPiBNzDRemik1kwK92MOEh99F122Q0R11Lrftzg6h/sgSSijmZwGGt6s/zv7+A
neU1vq9nHQOuNhHzriFMwTzxhw4xZQnbjrmBLHUKNxbh6sd03qx+82u5+qk+/kfRooSNi0b965+n
N/zb16EZ9ixdZ3qn/zgULPs0ZbTXrBTQCbGqCNOwF5zpzD9U11c4dbsOb4jhTdqNSnLatMwUpKBR
wcRYEbRGPtRpgrret6h+KLnAn3QYqrTpkhOXudckY8UzlseYOnILabeGKSzARTAGRGGqyT3CLU1d
JoBxTszHiJIVMaWmEKm603Cm11R7+KtF9+SGTPoyc4xe2PXYDGIS3x1XTGbCW7ChGmuBJiGrznSi
B40dlFxNjKFAC1nCuJnannFPFg6ocWXiUz8TMANucnKwzS0T4NHv+Lzy2QrGHoNCNyygkoYV0py4
iyc4c5HHfoWTIMv3oRM32k7ZSeGjpc6bEWcx3pi1oRAyL/0hEhfJ1OfvkRRQMBMD2cXSJsjumTWb
3UARUTO7Atyhu4K/qKXbhtVCvEqHNjk2Wq0/JiPBayuklt2tN1n+h42C/bHLXHTBYmyY/zuq9khK
RENVEhIrkZGXasDJ0LhGWyy1aTYkjxJ3KgO6gvSmsgxstGJdEaLItFEu2mbZPGC+r7KNaGpk38jS
+QOx/UaJkHZBmCyHILWezGByX5GfV/WqC1x+G1IDEgOFAkmJWdvxnZdYTrpsB4h+O4BzbC54Z6pe
5iJAqdaHRimWbsqaDwxeQH6XX5kp6y3DKa5Cx5Jv/ehON3qRQQTQ4qw/6GE/aVurDyYqBUnbh1Wv
Ll5VHYoraeR8ZvB9g/VOyIWUS5cu5oPY3BFpnKeaemsTNR6h/Uf9tDLExEbf70L2caTW9HdQFHy0
S+1cAlbN/L5zwiqicywXTb8kfwq8h+a39qr2/fCZXF2WtZlIm1PETJesPHfmpIrGT67QBUfLoJH0
j2Ogu1eaNy/Gcr4Hd0ZJgtIhIjUTI1VAKwuaz1f3iU8SOQYF2bz6pT1oQEOM7DNUj+quHvMkXGHM
j155t6CbRnsijyA1GsTrPsgyCVc6xLbVsPZZwr8qGrA4fUDnAAufObeJtG/lJiGSNaEc/5mWlL6j
Zt2I2hf53kNlVsUTpPX8qcu0Kt47VgXoxtFHsK5aiM5rx0g+jJdYNKfsahwK+71hOduuOgf/DLlu
EcBFd/Q7b8lwjLVVcAr1yRxIsvuwHSNrMTTSe4XyNg2LENzquRm3tJUqKAyYA9JsEgwzKX6wWnOf
XWUPNxVzuPDMjjCgrIJeJtsp0hgT2W3a1ytsSRiqE41ArC3+lezAhGFoDiptUAWeEJR8mqfDlHjx
e1ON/KVYQ0D+/fs+/e19arKv+tMB0aLM/v1/upfv5kPzROf0Zb9cqGDXUdL6jkGGFZOYmdX+y3hI
fDJ8HVs1THbLEN/6qxmrsvvi0hS2wRYOpe2vF6r4xP/bMnQdRuA81NH/0oToNxNX5sCAGAW3hSM8
cZoffWOuLpHO2BDCMmI5SnR4TVZhLoVh0jlmtf3zS3XOC/7+Tj2VFfAU2QLi8ZinXt8auVl9EB0X
FfnaYDm14ZEySFQP8qNV07zTIMWYC8gdCFCXH22XBKGyzBFDtoCB2GtdGPnYLSO95eogrMtchHps
v0HdMT/HQTOu//zN/qbOEPyGdebBM14BINEPczM/61XXjGW+jmMmKHVB4J9EbLr666/CN2eCzvbR
Zr/+/W8E+RP6ZVcDxUEKwzoJWPfbIt//+Yvwkf3h185Hj+Ef836LZnX+KH37a+/KEhPpxIuE4aMK
nzBqbYQfHiHl/vnr/N6vzLc9k4+6ZUA5md/HNx+lUUOOViAkWuthzBCs9dzzaqQf/v94FcGWFMSN
zcLih19Zqks5kluCmDEvl07rAP51Qcv/+Yv85qmgZGXvTLXKQ0bJO//3b34UQ5IPGSHWWOcT6Cxl
1ce48x/w7fw0aX8d/mf4Xv5Onfm7r2MaujnTFSg1QaF++zqBVkY4aJtsPYBFtvp4kcSfFTfcn/80
p6yu74bA84/zzcvMG/BvfpzADVF5tbyMFprVIzWjOhD1+Ny4DA0LQ7wPFqjqET4KIp9qITvUp3/+
DlDs8xLfvQUXxKYtqN3Z67iEf3//FqyA8KzYZfnXm/acklNABloIiQQAP1PfYhZFgV0xnB3IRYFv
ZAwkGI3wubY4mafuOCver/MgRrCOihQqSa7XB48cQYpP3cIDz4gJmmllWKDY+1biB5ZBj6x8zHDQ
cGKQSLgiww+QU6yVQ7I20rJBpNZP5pUBXkAscL577hpRe/0EyKW/daNEVNBUQkQnZW08wRzVJXIp
rNWM6MZWHkDFJQMGU0jS2Kpl+0UpAxWwNZMezjoOpQhjOkEeS9Md3Ws2UqySc11rngKMDWqf+FTA
C0hXWMS9oU5JubQHCxxlik5nHtoW8caUVrHr8Gqky8mwmVVH0sVdBwNWRybnjn2+Gl2GHJvJEN79
FIQRVZUKuzuiONZBULn9igMmOrRcUDjV/aw7m/SBPAd/MNRV3sOmo6thKoM5wKyh27iJc6XppJez
jzTMjV1ikreaFHii9HyFlw77A0EceVN+ZNHozYJqOncOSJd4SVfm2bkU8fQiGyUVI+DAe2okCtqV
0GKDGAsyojHP1cBEV03Qa28EgTHqIXGAMVcQyP5Sj6a6PO9OWy2GnGy4AIsG5+q099KyliGYe9qH
YWmh6cpPe7KhH8J3K6XOWdWnvVreTc5dflq5TQw5c1wVTnhIPYaBC7ezihuycGi2vC5uX1PaDmdr
ZKZcoMjrz626nbnn9sTGwSgqAqyIY9bSBRL3mYgJY71baJPp03P4+L4XkWkiu2XuPWM4RSS8lWQl
tHcr/hh4x12Fgkpr1R1rd/+OloH9YjlY/V1u+mwxi7AYHzUeGqwWfeFOh6HQ9Ff4TgiLY70uz6Cn
UnlPtjDijdf3ZnoxZrJ+S5xRgyGKcCDeRlXDdwKilpzjvDCLXczy0VpGLPHxPydpp3Y9JBHMvWE+
rnsUAkA3SroU1I9GWwIzSRjpEcgd7HsbG+7SUGb3BHQAr0HGsPqSf8y5YHiZvouU4FmtCh/aAWSj
/oFfV3bL/YkYZmRBnC2J9kURx0iV8ORubKKPgnDl52DWpi2NXk3PsYchcYHQsx4BkgiN+WHKh+8g
Q/Q+B9DLYK9K12TSrPBEYDq2nGhYZXbNwUBpkLFoakAyQ19RH7nFanqhp2YIvK80OBLA7j9OCobD
IikwRTMyDXg1gL8NOpEgKp8DlCPQW8uW8JfQr5l5wVtc62hsyGcapvwixFn0KPCsfA5B9z4EJvzE
feWQIACSIfEAFjqatTVr+i985i4ol6FypglGZGCkfDonesBamjh5vdAfw7VgKNptshwA61JzK/M8
C5z8tvQUvTwEaCV3dR6a01LmuWRPF1vF5Wj52XMwMXyd0cAG+sKSxCyzq+wbxpBAnG16oid8D0S3
V9Iyr+KB0NOlDsH/WsStwNQ/9P6Vx66a1bcsGfiaJHE8AmNGkVJYesfeujQgY8VVGl8SxECh1cIn
TbdWbelH3OJQrRkxRLdCRPKcFSJ7jzBoxa4EM/JRDIbzfLoi/sd3d6E6TX5eS8CicRg1P/zP/ziP
X+tSlR/N/5q/7Nd/9v0X/cdl9143bf3+j/OXSv1jQ57SC1EZxY9f89234JV+fierl+blu/+xRjTR
jNfkpo0376rNml+mU/O//H/9j/+AfMJ3uRur93/98+Utj+GM0lf/IONA1DAPrP54QHdXZnH+nZju
5y/5pZmw2TU7tBc/7YbnCKdvmwl97t/1eWus+3PF+vN0zvlksWhmBEdV9tMy+tdmwvzEbBvihkeR
O/+bvyTfsE/16re3PENAzzX4KR0aGyZ1P9RN2dhGvjSBFGY9eJw6Datzyx95Ytl7MfgOy2aPBki7
dKcusldWS+YFBEskTDw8tX/s1NBttMS39tHELpaOJIJlZ3XjWsv06dhpSbYFIGABFwHKd4F7OLus
CZo4KGlUEMt6dG9V9FJMZftgltLSD2Xs+bhno+RSEKq4a6N2JCTE1F5Dh5CkoctDsNq4KuiSWQLa
5Spxgva1rtP2konfOlD3yBrvOpn2d14c3EkTi7MebwrG40EMmVGk19ChnDs/Lc17a9AuNNd0wHcW
4SXk0A3zr/BtqKP+IVSufHY6OqvY0ypAUq19ZfYhS7hcXUgn0dbMo/wVSy7/AoV/nR1c5rQ3oQXu
mqXB5xAV70JpHEYLfyjISUjCQtywoWK8B/mxyeqh5ZiQ9m4owCT6zirHG72Pc/aNKuiAIhVtEHfL
XnmKE9+ubVIYnCJNN4mv5dvK5Bhf+IVZ3WJDFHeDaZvHzAbgvSCHbLiDqtpeOWB5VDOcm4jW1jZW
/kfW3RRXAoHOsBK91/nHYdBkPvMMu4uQtKxbXXhovyUCNbLYtf4W2ot2UzXtIdLai25K5FHOIQ+x
uYOnkIA/il1+uPwUCDFk3XBFUli+4DAF1JDjIakLtsxNXj/5c6hEM8dLDKekiYDOZIBU0Y/3DL+I
yitG9wEj2Q37T/bHbDe+yDnCgqhLKpA51qKscYvajQWinRj1bTvHX5hRXh8hZNeb1kmbVVBmyb6d
AzPcOTqj1tv+FQA0eRrRHK0xpnn2ms9xG5YKGASZCLhvI7TeV6SXaAfqYS43q4kwTGvm5K6Bt+KO
6oPUX8dztIcew1eo5rgPNwnig1VgjY4c65zIGnulygp6J9VwsdIsskIUXqc30HvZeSkduU+U05N3
5fPrjYhspEgd8eXAS1arZvQYDp2GQVZdsmIPS2JKqKz0/dzzMMaDYGC60vjA+c+aqKuq8c0uGt4Q
5IKlXWkejIyUxdvoVB9cX7rY+i1BKQR/RffhGI+EyYAYOx+GYCHmWJWE+440kqHH/Z+0qkMFiZ8F
rEH+FlPdz9ysODmLwnS4E2EtngO8pTeVPkZXuqG8S98SKSgBUGmMq6KMGKvRMs7t2E7PmjTAKeSQ
LjJHygB1MUgzeWsMsM6LQtP+L3fnlaTK1uz3qZwBCAXePN7lylJ41y8E3TQUUHgozIw0Dk1Mv2Sf
G1ffUSi+0Ks2sbsbV7VMrvT5T+DD1pecEkoieS+dX3frTdCo3AqAAZ/nFYBA6qXvNL03ho3mptbb
bV754Li7nW6q3tinnfk9fffu9zKtHWnMUoDuDjQeANrwkHUe24xu7nd6i77Ab9na871wHtTzYt6l
fWIpqDxKrWH9RGZtgAM8OwAFsjm8SZ8kpKDqF/4BFv8A0hEkczQl0o8BZ7g9tvpS3RZH5UJxPjm8
74fw8e6ea/cUgO8XajrFLhvyYFtrv75vzs12k6W2ta6uI0IDlQBQ1967+CBflUrPKqRkL5X060zh
RVm3Hpu3fp/XEwHWAN7gDfhMtThNi4VEkDvhdBdbWfvH9c4v5/tudpq3wcPzH7vcux4PQNRkCWmq
fl6guxfFONEb74xHqmz7uqEU6EWNljpRG6OIZrztAbTAMkykcATeFgyBdC21aRewgd+3U3G4+/ho
KBtA/c1SjbYGXuc+363u5x6hxgMs8MYMr/ubDwg09W/bbk5iBk05PbC0q9Ql0kH+Nm+6tAhe061U
px4sNQ3ImzbDXgFE3PMWPKz3+ZdJN4LaubBErOZUgdx/CEGIglOjR4TU+QLHRceYAXmLD5M2jkWb
bymkBskit+vH+c1OEc+4VkHpflcIfpzPl4pPoWBSq9EP53qm2dCTVGdwkv1q4XDStTntDyq30gM+
36Ro+Nkgeaa23tj9/vT4ppUb3ejKWcNvVHI0zAsOd1bmVCYUioKcwdzm5gB6w7pI49X5lZ431A5X
1Bw2EWyrtfajujPH/HENjlXwgre0Htqk9e/z/OBaKdvReuYFv7wHoGq+3pP6kPVBF6IdAwCm5xat
38sPtyuU6duUuWf54tLm1twqxA/yM15o1Eo6ORwL/qGM8/tcWJdmh/wOnOvpnA6376/LAz/XliYM
t109dSni9Sn9Ge5nOjWkJ5ATs93u1CtuNvRxODWo47shHNxW+jw0peND80Hs5y5dILbSD6IlnSFa
z9f4SE9pEsCOLNyFQuflTjpGgzl2XU8ap/xGd0GKUCy1vnX9BjiOBgr5KzwcD7X4vXvfPMkc0ZUK
rVj/uCT+1vL+9r38Q8H8x9P/7/XNP7mKNXwx/3eV8z8uoLSeNv/zf2SL9fGv5e9fZD3+9R+H5QXg
0P/2V/dyzDfL38PPZvHXS966Lf7S6MXZ5vAvaup/3elvTbVZ+u84TosgSPwf4BK81aAiD//vH9QJ
lMT/zDOmyw9KKMprqSZfLuOo+s88Y7IsQaOrtZotYCGqeJD+X6LIEo/+F3cUN2/WanUc0nj4cLT/
w1d5pX/M+34spm7MKVZnNez3ux5HTg0O+t+4RUHH+Dc3+4cDNp2/mpVtKjejE0n8NGVdUoBiKgoL
1NCBkaunyK7Py2/V7w4RvvqoC/pn0v0F6oXHd9Fm5qrRb1RVH0yZZyWFd8mkemMLOjV0bYkwSezW
rO1Rg3+mzzp1a54fXFkfAnD8+e7TFPU3ecuGhDhvYznmBs+m99S5JfmEx0XT6kbN1dVw459MUWOs
8XboqvJIOnF1l9nUHjzCA470Mu/lo3WzaKB62725aCrgNYCkrqap3/IOHnUDPnXFaqdWQLnpndmG
82RFk2K7tRtTNAvw09RBb0yqYhR9NcIFpltm8FBRTU2f5qqGa/U9fLNOuXKETfVytewt6R7CKFc6
mc1CuflqMPIPern7N07Ljyv5f7dm/kkk//BZkofzJNGRfQNN1NxDgJpZv6+XBVVcP1UXg0HW6KD6
NDdRXqa8/tdZfeeqy6CnS7Qi/dLAfbNldORRR9X5PqurCvrdDQsaozJwgQPTXpzUL31vfBDk9Ftv
1YL6Tf54s6ZkqGvwajUlGVwiYtH1Qy9Il2SFU7tzqW3+O9d3s/FPR/5n3k2cNdiRtVax+Y/ch9uF
YG/peE/dxWBLDA7xxbQGtIvxMDHqYFg6Wt/a2mAblMO3e7p5r/ZTuYOqpegrWd+bbVWf9oiROCOs
C/Bprqvsfs1u0UE3Oh/uDyZbgtTfDIETDOthNZx7QLzaengKgPHmPLaLGmecetgsuMQldwluAeVU
5hkDn30JzhShQ9RfX2X9jClj1WuftHxb5K9b/LC4XbzSFLd907vQJpjbtKZ12lf4dL+d0a0v3s6o
zeUZzRP0MaGNZT9dVtzGf2My6dd44x+WZV20JbOO1v46QuP4uQTVcJdUQ6ptA2opg9KUOu77mFy3
wvTQJWfLXdXBlPyrVx2RzFqKSyYPaH3gy/+KexuSquP0pPJ4169Nn1e/ugLOPwfne3Vd0HPlMX7G
Z3L2yLpekW5wCXDH3Ja3IX8krek7vgxLMeDZ/iVeJzdTU1kATmNIk5OKQ9dm6m/zNCXzLb8KCnwO
nZnHiPIix3/z8CqpqsWPpOF2/q27jp6ghXQpHd12T1yovGI0U3AEfx7j64LeB/ukTTjivNiT3KWy
4bx3YKdloUuu0Fn7ZVvVFUNZmT65S6fhyNGOb91H0nL0HoPY796Q5YZrnZUbdoKhMLvW98GQuOAO
bsfxaUR7ezBVu2YXWGIfz5Wde7fgnBx5fk4uQ8KDw7Ledo9Jujx0t7PTskKORf8ZkLupKqzFpXvt
0x2+vMCGKy+qtsoF8TLrR/Jqv4Nd9EroyT7d+/Nxc1ytkzmjd9Gtu/fvvV2092vRc3ji4nBCbp8H
r/G5T4N098B5279038MTOAUAjcXPweurBFea3Za76Bk8mWo6Y3OKY3JIzleFT7twVOXxZXntZ7Na
vIXZ7dVlBgJJdVQd3ftlW9fX5Nh/xtdkv1bFBR9/Bnmw9x9JfVyJT92sizPhHZ+TP+fhvnjxuLJX
KPXq62looNkphsCQ6JPZ6nuYu9wdoMdzUtdltn7utaZ5PPfS7i4pdHaLYvh0RQ1RwDDIEtGN4bLa
fvKV03DX3/k1Nw+3y7Rb1kJc0L+5xfNe1St7GcR1iTe8gpPYltwLqhKCIndIg2qhhY2VzDV5x9ny
nJDr8VNnUBT9eneRB3wHc7AWs7rcpBmehjh7Zsek4qrhpk81S3l1Qgo1GSi5q++cOefx2t9AT0JJ
DQ4R6E5279MbyNI02FxtbsibRM4VICZgNKOGpQeUTU0GWV+/AKjzj97v789O39QPeGWOzhrRYSnH
tsCS7FW0zPRyr+DKHGjhoVZk/Rds+GnuzPAUsGxI0EpEm+Xw7b8jRKJ7IoM9YcF1NfFsdwKX5+pH
PrcL5UgdoH1wcRQdvDlahAf8hwdUhy8jbzCPEieR4zoUHnNkV+E5nP/vYfcXdF+1Q3afXMuRxcoG
TY/qC0cMEhz0RCVymwYB7Pzaf7Lysv7fG47Pd6ohI8Yue/EN2XHM2AoWh7l0zuxzGY4pHxKt4owC
sLM1WE8JxSBzpUnm+NLbfH3zr3NVnY1CyXCd72Bjr95GyTIAb7OCf7cAAq3onHxj/HVkezZM+aIK
XCdTKPUYE/gcOK4nSsFVa0B87bpq9vaLJjyC28W7qGzXEUeM48hctHCHc+8dVO2Vc9WKrl/gVrMC
taj4C75z796u+NmY6GN466DfMIVWxKf4XWMdaz4wCA3/2Kv5555cRha5Dm/LKOJQG01chzV7K1QZ
7tVSJRjA3jb8KwrWzq4VXpF2S72gnwK7VXOyfhSGs+6kb7OaKYwSjJ4gAPwCojrBxQusJKi+EAdd
oZnC3p6ccNNzKLyUaagbHBbeJoQD8R6TeZgHLSf/X+2G28McZamB9rYfhqhb7p6QYwQJiPqFPw1S
FIIkvsMQ5BXREIDz5O4QZ821y3r69X3VnS9RDccvtIinWfvfwg+m0DIMdQhVdN6KDHeoVbQ80D9/
uGEEXjubLxrgwW1s2e4sFyqpVzvn267h553vTgcGZ/YsAddij7yafwxFMrDe7pvCYUYB4ymoznCY
mb4wcoil476hM9SbgpCc6DHIGR6Y9/BdPixEyRPEINyMx4a9OetvBio0/f2FTAdYkLWV33KFDleS
exWUQzg8vHdASzbT4Ryq4Njud9pmnGn6mKuDJz8HPjBBmn5hqAUlAyHYUrTuNYMavuPuzadUz93s
25bNaOFxklBtmwbQMN1UYVFtzNoUTG8QxjS20yBW2Kr6qZpMTdBz6VSJmgtwEqpuQ//QzN2KJga6
kMrtzWbqzWUoQ0YHrfKBuV81BCHt3LxhG03TsmdT8nJ40DosRRVfmIOQPvjz7WOv+Ds8QRTQEKzM
nq2ocl8d1heAJ83i0C5ZTarql4zENjI7kcMhDA9ihgHvfFGPivrO94jwoUOissDGUI9xzuko2qm6
xQNibq7Bc/jJOIrGWx1lOtNbBEZDzT3hzGT9s3I7tfQf6OM5WluR5wQQ9V032yJc7uoeHv2trrHK
awcyG0u21Ud7c4DvfnT4u+o1eLlpCZzaB1/Fdy7sdcwbqXcx3NFrMkWQlNHqGCqHRU6e6HRXrvGA
8OX8nZmekE7m1io1XcCVte12O50piFYMgkAw270x9Dcwq4Y5GdG6mx7osWq87A1GFGOZkz5hNTBP
KqLFmIHu5DRDqUL6AG9wuupeozNmNpZOPG77sVtqM7le7nAKxaQasB61YMeSCt0K5V6Vg2XBYTpH
NaU0HSkqHBR4l8+ZFjVr76OettgIDvSH69B5iS2TEYjlNWw3FHg27IXMVeSmvEfj6vYauSUGV8tO
nhhJuG8Coa3JLyN2/Ux1G7pLuFVNukFAiYI6jva/c9OCKg+qC3nIWv0c1A/rdTa0BsAVTrYxkL5M
CNdo7zZAqH6MSk5dJzLLB9uL489kQZ2lk23gpFWtc4E76kAszJaWs1DQ/SGyQH0jFah5UVRo8R6m
pDvrQMgTg+Y391u6oYlO22SrwpmM/hzXO5OHqyudJLRJVRf1HC/Os9HWF1uSoO7ncVBx0H8q8OLt
2ut3+30mx74Hv4gd9u3EiIRhFtQpED22wh4gmUo+LN3I6MADZlFI8rA3f+PtvP6+DaKwnG+u8pur
QJhoNZTJCX/HOkbH/C7xEdXHOLvYH7B8VR71vT7G9nCIggpbrMv8TIFzPpmcVGxjr9v1fsCO5JSz
BfGkzre5QtDpfCON3wHSCrKgrp9T88djcGQxNTYpXVP18Kk6HTIrMOGxcdj6IjZ2zV2Wciehxi+O
+8eogYF2hNrgpQzy+0tO8AojD1qHP2UwB3z46j5ZhcmMyiqW9eOSaEHrqArT9jhC7jmx+7DD4Y69
g250l/gR/Sowt3os1nZFrZbjSreieFOIoGF6tLa0Swzkipr2Xj6f56ncqOAaZj+hBZ5aYURTtGXw
4quJGKVljPLcW8Rdr39EOrKHolrIlvx0uygG5m7eNu5vTeBxiLsx+LIwzQLvY9nO1SwOMtf/7c5m
tju8/k2ZMFshUjwbMe1B+Ou3an7AD1C/P3EMEcU24GZPnlYVOaxaBqPDUI82nHjyt2FN8JrorpZR
FFXUctmUGUfj5dU/2pa5R8K0iFAYeqfyyXNU7qf8deQb42XNvDwsJ521wUQ3OxwUmYgTQ0UW+zU1
YzJnWJfW8uGLsHj4mVcI7tEjagVbb6tB2kIODU7e1lKs4oDw4EM0MzXLiDA+azlmg0CnxxIVI0gU
5ru9bdQpvtupMTpVvWm75r7MdKtN281fi4q72/X43Vkv3mjPgBQGyx6dqcKIC7lz2BkGXRVgQjWi
y2nqpgiLzIm+s7EfPw/67gYdR6TXUORpdcXRnqfPPqQ2/RLm8wWJdcQlgfxF7UI9q3Aj0iUgZO5h
zouSgzCPYnN3qkiICuaCcFuggd6uhFOq6dFCUu3VtKFyNPdyCLfnWRGu+8LAeGl4/3gsjoAaF5nK
aZBXp5+/6M3zI94BTFUvy9wrvHEJSZgZvlatz/WKK+Hrt5hCKmQXhckf6r3bNxaz8HORHNAvBmmq
ObmYXazpIX6FF1NG4FwcTG61GkdyMrLhV9sF1OKq7+8aTrWPvj8WTi1n9sZ2+0gSM47MtM2awKf5
+Na5t6NpXSCm0tdOTRHMd7ZCNg3D+sK3SWXhCuOHPlsm+1Bn/8yGjyE/ps48WZExsJmmlipIbNxb
9noRUHHIAEiCtaIvB7JauMaX+ID+XktWVR50OEWaXz7a2DbIcbjUVAS1QN7th20zLyiTUz8Voej7
KU6vyLQhn3a7bVzb8FGGwOfa3HPK6Kf+GFcVE5bHXffuajUIxasHG/HH0zYbP416A5ppr9kBkesg
E7LOZur7hi/SspI7oQF85OZDmVUP5vHnOC39nUK7YLSrneoNVgMKU/nKXS97K3ovKBqy+fSjNoNs
xKExyytjipjAHY1A1N6C2vniv8FRJIxUWN2Yf5T3eR8ai3BvnUZ+xBAurA+z+toglN+wTDbsi/Xg
enV2B20I/bwAgaQomDhhpuxIz99aDu6OFaWlIT9zDFcRKbRyQeh9FxRn4o9YRvfkPGSGDkiOdqg9
jtOg359MvO6aInIfLeKKvjvcfGVui5a9UenAOU6OePM6naHXh1kt4Faq3uX1sjYuUErdxkiSbrM7
HLov54gFmyGmthsidzxLczQ+v0OwouV3XnvzRJ20r0natwqm1+//esicuyt5dYOZKPpsubseZUWV
XnUZ2UYTqd9Cvznbj/KoYOvdOu9ufi/fpInVQQaeALhVVdvBR/Pm6Iv9XOfwylT7v328qyVN51Pb
QFE92RKZbXt1mJBSQJsDVZyBUQvq38Yr6Dnq1HddOxVYFV5UclKzHMn/JAZ/oNpdn1FE13RedSle
iKLKBKFP1WdVZMjohgV3U1SVrL/SlrvW6TTn7nSQvBvS067tWnTHyKV44eeRVMePxcs2UW5v5miB
xM1tK0alMVPXoekSTa1iUNEK/feEvtQQQFm/0BPEZNpYzFu3ZfPOIxovH0ds0SQnU7Jq6Mu193bt
vVdAOT96a9X3PG+CFnXzL5NLlPt77+mvv853PHX7EK2pguepypVZJTFz1qqbGtIEe1tTwl7Eiv9I
PBnPJjx74ls/e2dvGHjs3RXrAiOiHFDBYwr697OBDzObneOGR38gRzEJv/n5dZ/ug7eezaoDoHt0
cdbgi83BYXwYZ8mRd/ZHHA3gdXrfkKgYnzAi0+kQkkDOuocBgMSd3WIBXgiiZlCFjiCBYO1d3d2l
CSmczU5TxW/xvcPuTNGd47sho5VhAh1n6ygSs7ikZxgydq7Kruxu42t8G6+7my4YwQBZ+uU7yCfm
GBQ80U3ZdaS4Z8OTspC7BxkkFn1IKTu7QEp0hEmAqBrOtkzgadEHD+oab5NrTK9ON+fD4VovHia3
b01PWHc3qFnghQb3oIIOmduDmp3UWo/CuqOrpwdMNlctu2OwTUDCTWreNf7QLEiY+mXuQdHMf47B
PS46KosY3tum/pb3uPfN0hOUWYNtyS1E73zQlQX3zcu1eoDRrW5jgMJV8pZR8xmuGyv0D5yCxDlk
jShb15O3thOZ9FvfWcDcxsfgHJTdIeGWrtAD78rQgIhr57YWbpN9IAtXCVlGtHj0FZKW3dVcDUF5
u2NT7yxmzmKcmXHDK/RaPAC6Gt/xYwbXmGQerr5NWC8CIY849QvekyvTC54ZyBxKml6v7hrUp/e4
EoIawPpShUB7p2OujsF+eGY1N90/+9nyAF02MkVZhhkUwYoA+yQhlUFRJYvFmidFg9PZyqXnalF1
LwNF1MLN3jVCuWfM9AnJXJQEgTjbluQsIjwXHjev7GcY0mdiO5ktohmChxDt3XpaHBbymL5S++6u
++TaFGqz8sfPAlutjelFaD9Ko2nHCcbDKNSIjlSF1pv0M9nLit0inrb2pMNU7cxFD0bLHsKz5/uj
cOC/eI2yxBhqKaqdW1F6GYLRSBRJIk/QQNoveIvRADWay3LhcAb5LYoqlPkTVBoNuJKPwEqV3+Ny
tAnVaTgYaG0Vzr3JLpgkGvnFF9G5oYME2Gk1CEcnVuVpOTdhuOLe6Md8w4Nb5+rHg6CTUK45QhR8
llzIIwlFjhqmbPxQh4skWRwUJ4c4nwo8YkT4oXVXxTocMU+/FyE5ByOr5SKLkiYJWP1ZntEAea81
qxSgRaMZL1icjRlcdNOxp8hkFOITDJEIWsr+tkLG8NSesnBtXhCfx2AbIvxZo6orq8Fqxb02xmeR
BoxLdGuWVxNBK8uwjS/6V6+3MT0MhZU/GrHgI2jBEJ5iYgdOVBEXyyy2cFWsUIleCY8RT+lvtx8o
XsZAhfDi0QKbkPURoiK89SE3oUuRgk1Ie/YwUORcVfSCz5Q03EA+mCQo+0kyY9F0qK1MxmIV2MRy
XMQmYWPjWRLDOpCmstykeijLCnN+Yz77MZnkJ6LV0RWOd6FD4QSfP+V4wzq0nKSXmzGvl1m8YZFl
zHmYJ4yJqOnbtiCbxTl+uUoItwEXE3CI5Suuu6bL/BOcLWRUfHtW8KpOJsf4JZr389Od8E/MVQoE
LYCdtsWpfNoK8UrhSOJIqivmABduqpbH8YP5esIgrnBs4TEgrKtRxZYs+du+sAG29cPbZ3LAHwYB
bl+mFuYw0Ya37cN1+3CpfgXPV8U+gpId0XlDF8JHXFQ3DSgsLFncYs9xIywxHtpqm/e46ArMY09N
8b4CGqp+FH+yp1990/qwe/gq++9fKhMiYKv8cKFvuurTHUhz8izUg2smOrSvHUKQW3uwdcLCIDf8
gHXiiz2FSh4mIQe/HbUJ0TnDYNZENfUqMl/TdhQN5DTKEfEjwrbgBsJdUrXHQBpwKDmk/gr3svJL
3SWq6irT451qYs4t0UXH0XK5GqwNl5CzzjHCHcHFR5DZKI1qGsrhGRuI8RiG4Wix4DWhQw4Ylm2m
4sksmSGMZ7PJHRuWtcW/8oRWJhAZG2K1/dDX3wQBO+at7gV5T8y24hGk0xoZWLEsTcINBi/Oz4hb
cT5HIYxHSLUudIdH/XM8hOPOFnQq9HeGj5Zgd+hd/B+NRjLRi16zxGXWdefmVmLq1JAg3yr6FaRR
kb+rcTl+BefloS/01uDcgZGh5tPWaj6tUO0bpv6lfyTxDxup2yj5rd8jbHVE0XU1LqxKloKvDcBI
CFjhzsL//5whVg0iTGbxIhxx7EYMkp2zi3OAaFiMRnEykoH9ecB1ThKcZnlXwkTRvUw5ZmFF1JAD
D6NcwCLlTFQYUE1vye5S6ZuyaV3F7+VRWcR1C941qK0aq/0yXyD0mvqYU/SuW6u0QXDZO3fzBZVV
3d3slMyjW28/uBCtQcmNytEr2hg4f/lkJKXu6+Gndt154AYQG2V1TBkUwsJd2sgJk9mLd3Z0kzRr
F82tmZ6xvj42xB0LpxWIS2GAyUCEKBoM/Kg9jR4YoS/dvhlMJPERvBQmDvz5oFdi62E3tqfjdjTt
LccRAmque6vRYiC+ZfGG4kj9Yw7jkYh0+CGiRK98HKuw6zumlpiEERSMnSOBfPG1ihkkfBe7EcrG
eMQ5g3OnDKlsWWERw7Dr3sfs7kXTZcRwOBoDXoZSOEdIvY1pmc2gFTAkzDlsHwYARLh3DctfLw7X
D4loOXUZloyKtsPh1OO2GOkR3tGa+biLezryMVZJumAZIl8PFsi7AUID0Z9ZJMHLnNFmDnC2TM3q
ytvpiZARjAWl54w//OSj/MBzq1PIIDmg16DoCG8X7oPulfbT5Kn7O0/SSTb6J1f9Pf5a9O4OEbTJ
WpX8HY4TcWSQ70FnNYLFBAI8lnF08xZyvqDWmUgVOfZJuDcH/N/R2O/1UFN4INOQfTocIBHDTAsf
YumShY1tONrJZgp5jBaw6pldJChEoiusuMZO4RXvrQrIRjSGJpwElUEc9S9t7grjHEOZdSKYKIbw
i83jSigS7MUAIhqNEl/M7/a0bURiw4rCEPJTYS3cDS1CbQUTG/hQ24DNQyYvwqRsPgRSNCIoZyXL
T/JGVRfbBElU0UlNdDSs9hWP0Gf6TC0M4XrcAYlwQU8YLPHxYTPDmMsGpih5NGGZSfm8gaNM+zDB
xHIh2our2WKRoPvKY8aYcKWHyHIWg5UQSfjW8U+33xU2yFHfkepz08CxemmvEPRWAz98xUwJ1rqA
R/j4FnlpACmj5cBWqwrtGRbA9ZhYHKNA8xtWwIomIfyRkWBMhDuO5E2jSYra8Uk5UtchvAJj4BHU
3eCZhLfeja05uhAaLKtnW1j8SIvIFX0PWTLierIYMK2EscDk/+tv9p7zoTXJQUxSboBK8UmyYW0Q
QsK3BkyCnwgbFodPCR8PefNoPiqjaMryH0GMZNOghcOgSdseyssyUADS9GMIOrq39Ztu62d+hbWq
2CafbjrhmAf+vg4O9uYdXWNxdHV/99OMTuHW1jQdjs3RwZSZHMAM0bN9HVCIQ2kVHt0iKiERP857
tGKvhSOXGes2RNlDaZX5yNnHUfsxvN52zd32pghnFNa341CIwn5LKvoYxBnaFdQo4x+JhgkkWnvv
7gPRLioMtenfg2uQjxveC8n0Z0+YN5OkxNFyb6EmdkE4f1HE1QL5CPmgVqGYP5B38kmG4HZLjCG9
Xq67YIdw9bKT9UN3o9eGvrDziDGoTIxAERbCN17YtSKYy9AIJC8viknIhHmDA/BHv5OMKMthgHaR
mws5JZDSCa2MY/Mw++Hnm3oxS/u8IELoYSrhGr8zT3AqeAyXu7sidrQoUxiMfE3uvNZnhwpkLgn2
XL8WZsltIReRC+6Hzel6+UBoicC6LU70zeyXN0CfqW2CdCPYSRueeD/bd6ki2zEq9rxf03lSjs/d
V1wIL2Ed2iihyKFjihmCziBHmlQ5+Adbi77+grLK7O1J76EazFmEfhHauGiMg4pFOTih5EMFQipy
uVYIRNxs6390aqiH1RNlj4RmRlqy1w4Exo7oo7t3IENESEWPRASCNMUtkdzo/PxM7SizeTvrHaCf
Ozoj2gxe7erkNKontdn8Q0NrWHd5KuqinIFmtHHgRcbv8StYTy/tLHxF+44Yhc/2vXPsHAhl+4wS
DYMpkbm2c2tYkmgMo5AO0k4IU3Q9QFp4Lez1phUihwjBrTeGmeDa5ODC2z+qhS36hUCWRYQg3/KE
E2AXwL2FHi9cS0QqPFhOx0nLhznp6Dlog4OojZaJpCQOwHUHYTJAt8Q6XBHeXPkQDlqhEOdNH+DS
kEcyWI15w8ZdG8P7xMAVPiVi7xhU+BRabtScHMIdYYFm0uzfSvR/ogUjcMeq1W106TnaAhqa8DB/
dAsBfVOjl7/pMHBfHidP4jvEM4F3dDTE8dN/g61QqwD09I+MVqAkQAylNoxS72brH8mKpd1OUtXP
W3fXkqBX4Pc23oznbXpm4g78E56nnaMphoc4i68WaCP+3+3TrZPrqvSDR929vNJsV1SlWd2S67df
XVdF8t1/joBhq/WCQMVP3RJUDq6T7Sj9bYIw1k/beI2nNDjBeQcYDi7s3Eg237pf52fNkeJEUDUl
26hCIt+XaxNxaHUkvYIosPf28e61iE0yRnciNzbtfuN9FV1NAg7iNH4bCRfTtAn/XD8gEtXvd8gT
xIWPbwGZPIZfShADN17/+5tE3n7fdRxXJForua6k/owlHB0texFxc/HZPzRVU7ruMXkyjCTDiXAI
Epw6bAiygmNero/311zxOZaI00jSAroKIUcxe3PVshkV3ZrIMB5qUnMJ80raBa5HMgMa+mxeeG6q
OH9K4cPlxFm3hCUlsUmyV97EWE+4ifAoYYfeQlB8MS423i1ah5seahCux5rLupfgRTZjPSRdMQI8
01bIqsq6W9IIl83F+Wv9tf5NO88J9djStmF6TV7jy1Dys9a++FZ3/o70xSL5OE8Sj6IHGStP0h8v
w31CSdZqt1j3JadRYjx1r9mTMMgueROsyQ09Y0k/uttCZ784Liosb0IKJPqahNcLtml2Oteb4E5K
cUhLHId55OqGwdDz5qrrD8AEbXl28N/YqUVWohFSUVQS3xd88zLeDOeD1ld1MI+rwWa0a7fm+vAm
FZmKorDUy8Yb8irbOWZ7CQXqlFxxc13G9+nbm7uWPo5KUcvm5Cx/zO+QBnA660hqS9bZt+fupwQz
27inhxzyTrYaNPp3NmLfzZPa+NA/E9BumCbgIhdDF5I9bHR1jPdotxuUL1Flcz+PAMXKJz+4w0Ta
lw12Cdzv0Lu1834xBssqBOMT2SYcuIiBf0o2OL9I2O3m4x0WzIuXc3W9mnVFnWclujv9PvDrTejx
0Vjr2gKQxcpqHzzw34Jhj/W7SMNN5zCq9qUI5bswe00wcSjbj1rD/eQMq6FwqK6PQKh/ZaPzpNxQ
65sqbdVjAnAWL68HxRJVc/aCRwhXBKyZ7GD4v8h0ynBgk8J1Ub28bSg+PQDp/022dKncELSKf82X
btVo2ECDEmBu6N30D5gJyjto1Nag4U+l0/6WbDwO34ry/k1ytTguyYeeCkGDX0Cq5CdNbh3lnduQ
VEKO68vuEd1rmzUDQRQozAkllFYlAAB+mm+1BZXwQS8wCs9IPXP09yL37B5m08agQD7EE/DFsESF
DdHNvU3v+hBcqBwfb5J6bxvncBOip4J5ouhIQorrLkdKYkKHND/wKl1Wvd4ucxT2ZEExkCTr4v1n
ITn2e/gLMTpinDAGuvq6fXIhaZNjQkiT+Kb3Jt/vTC4zYcMtpex0TVDPWc00iSpXSBakEzOnN48b
00PTL+osyM0puI9BTStxWC/BYXgfbw62DMZm/P7ZMlRHydFzenNNTfQMPjSct1uDHQXtm/haHK4b
5v1T6+RoeOMqpXJTmiJtXiovATFJzZDOf6pV12xfpvOTvlN0w0B23yxcpbsld3wOog3zblcxcG4/
F+5CPim5aVdV8+/tW2dNcK5PquvwLPnUjSmV8GE6Szem2SQr0FDn+UVXtzcFSaaUAgPq7equiru5
qUsAVEJ0fToo/pzm6niwx4q3vVN1lrzRtiIyQJ9IkeQ83vT3/QrqXYUZeXQ/r+VJ6xzuwzIEDzBZ
BPLljZjc091u+ph5F4AwCeWTybKhDwGpkemwNRAeBYwY4ZqTK7ZJvvm6wKu9AzVMneps45EgcvUe
Xy2XLi9H5rt/a7Ibq8RPYKG1n/dRVeakdLdagN6aR3gPb1Ryec12BRpYwBqT3YPiftNY2yI5yORE
k7XRbSbFfqXzQDmeZmv6a7prQl++FomcsKPh7Wahr1drms2yffy/2DuT5datbcv+SsZrJxwoNqrG
64AAa4lUSUkdhErUwEZdfH0O2td+tjNvRriZGa/hG77W0REFghtrzTXXHHGyWRxP9H45nJkFfpMh
yJHfvrBUwXAPHvMp4VR+1KFtaiR8MX0JYrJjj8q7PETH5Q6hjzskZqqATWeTEYb/qxXSYw+fveQN
kZqN5s3YKfO1UjG0M9n/qDm7VBDhjLXYQaadjvbdxb3P9iZ2OQKDU6rFw6RyBrEhyFMsCT4wyHOu
B9Vm4FV1e/2Bccr6e/GKIHy+PqlyHtQ5jvrp6K4x9mEOqDF88rR958nsTVsOSjvl+abgf+PbPmov
wn5ZAznbx9h4cgxTFvIWEcUqT0in5I8ST7xSCow605ahY/zhvht3wlgdvx9bY71+W9BMeQq3+5ap
IFRKRr3MgbkfmPiSYr0p0Q3u+eE781AJcvMCFqm/jJuk2R3xFX0YDF1Ji+Xjhcma329L2IPKY/3R
gvpG3t1qMO8d65BkO3yumFzb92pZhUAfLdBrtzn2dXnQugAjt3voo9WHvb7aTbVtj1Er+87w86yB
nUV31qv1NXhxvC7lJeS996ZwZdwuG3TCTyRmX/hMS3tO4B1kuGz09JN+al/11CNHPGi4cVY1fn5z
E2cn3tmBriDzJIaxwY8hAHqV5OY2tmTxfegWpdKJaxlz4ey19e5eOB9ZfI4RujtWLDxr9LgU0DIH
duV4GJDK8t2cegRkc+XivJK8p2K81C8td03hsT/J8PIqxF+bQHTdrdjSEhsUwzqNUXpPe0ZxXFEA
p78+P271terXZw3Rt6QHJWn6kOPC44/egnaynRUDJ8ItWSUaVm7uT6tK54RldBgFrG0jg3YFXsvv
7KbZysKTQXgyVv2X7ufZ7vUSMdALzNpb+V+M8OtT26+08iDZFiJ3cPSab67rzsW/UZyST5pJWj8X
DaZY2VjXBfON+THr7gDj+oL51En7Nrq1Na6finHil+gIefHG3ZPKUX6envPpyVZ3drkRyr5Tt9FX
tZPxjT4d5nytIZMNT5H+bKbkq+M36w6u7W0YnBZn5PtPayfAlVqBzuI+UT04VacHjvY7G7NKtMre
SiaXiH03/c39Z+tnu4S1LM48yqN2Pd2xvvkUCV+clYAh9J12nVU7xxFleQiMZxrXn7lf5RDxdC9/
HmYvPEU656vH5THvmBBfyyz9QfxaeV1oqKdgfnFO5TP1TIbrzfKKr+KscxWs7VV1yW+H93HwJu42
7Nr9So+D7joH5hcZMSJaniQ5CO0u5szwzsk31nqvC5JrOZMH5JWaT87a0s59uOvu063NHf1Y2gfe
ajbaGcke026dcr4QZM+B9hxXG1DjyiaHUPFe3naYFnEgvKtHq2MAYSKVsVV95LcKlnRn7rt7ib1f
egnHKEBTD/JuwETxdslxFtyk9zZvKs32cURxamiBndvolN4RDL3Jt5m7RVNGZ3BWtLJXweN6+6KR
M2TmFzgC0vXFmoTqBxXZt8fFNW+LdYLejlk5Im/HiyCnHbsbxc8GBJO63ehya2UrKz6G5H6vGzUw
3yeXbVRCrzeS8UbscyXbHWzbpxKL+j77HA2/wv+FQw134fOoe07ku2/2m/zJdr2vU2YpeLInr9kz
ZV0z9az8J6RQzkg8idSZX/lWfZwfcrmyKIlvGsQO5Y5a0yDG/Fq1IVCQer7ud+UtHzHm0VfJgzk+
TuGrLHKVJcajfEdaqHxnW62vTeXVEogkfBUNZs9FlHYir6A4vBC0SelUV/uJ//3QOVq3k+Lxf+zX
8gkGMPH/Psn6IBBG1e+mgFcluGRahohYB5XiFz3ql7mzhWd+L5mXvVSYsrBydGvD8cX1jaJS38SX
q7XkOia56iwCIQB5f39VDoq1ugW2lN4hd215A1SfmuHIbz7djjvG6356/9uUfEQaQp1BYLa8z4n6
P32m2O5o2jH10I7g/0HVXRAvSoSVqwYQElwFZbn0sof4LXnouPgfxUN5Jz74gYxH431zwwHLkOWm
OhXcFsioqAHiwhz1cr15cAM+UFl500buiX3fcIsFSAAP6K0IzyuVM3B7nfi97xElD9clR8me3+by
XnDvRPS7dXC4S/lnpqfkWX4Xv8VP7SHFf51v8pu+Q6boV8oDeeRfOv3yrXpQ+D79fvkCgqmy4XKJ
TsarGXvly3I2fov++0dLzif5DaW1+f7uyMv5e0jOX2J2/t8N1vlt/ViwWPvvF51X3+1787+TXK7f
9P3edv/5H0Sz/OI4JtnSmkYYH5k4f0rXEb9o/Bcyrgl4I93GZGH496Vl9Rc0F0sj9QHMCuAi1q3/
tbRs/8IXDAdSHaGgV2VG/ydLy4T5/K3Bsi3ddkjYdn+lw0B14euf7/d0VWRYa//TqZqqz3PL8In1
cD6WbKC1cXrC4kYF0FBtjjlbfZULfyXk6GqIr4RPT/ANcvcY9XSRRK0EZZvbr0WpRNmqzWMTmKsE
KNFPuGTbERRyMRj0oIlddZuOrEWGSlYk2CNoGuNnUuL6KSExLfTsptFI2JU6W3BGoWPUGt1xXBFu
nwZDnEzXlf72Da6G8T2kdfwZS6c4TLqpXlKps/bVyOGYxEth8+JbKiVC4p/HwVqeKhugWe/K/kgc
WOWPkTntoCVZL6R1xhcjruD1GjCXQLK34dNY2ILOp8uK16YK6wdBwJwPlOya3VNORKrICM8hsc5+
6kw5RY4yZ0d1MeSOeB39ohkK/YNl9Qc9JF2fnLBRZzIfNovphbKEoRYXYGUXltLPkdt9j3XcPasx
cTgQxh0O1jBRXwjDM1lmJG7tHFnWMew7GUDmEQ8uGDiiF8JhurWhf7S05ySmJZVqk7TSh7jtZ2oB
wB9wQKpPt4AREVkDwTuFnVKTE7XGOChrs4NVOTXanUq6HzGL5XHIYrv21NGJg2bIKfyq2JWvRHlD
ph4srmyUl2SHp4ak1hSRHgw5Fr9m1jdua7Yb6HXrgaRiSkZwg001BwnAE4IRbeTDmlq0GZCMTGvc
DIlSsrUbmZ+1m5WPIZwsT/b6ex2Z2IVD5Ua3WARNKdSdRt6BgSMVkZuYYHPLvM1DHXmZAEMtam7d
keRlR6/nbdhq5zDOxXHKpm3d2relAN/nGtlOz3m0651B++Eut3oD8Gs0znOZvibt8ANrQT43hMis
y1pfHsdWVmclyuONw38LBJlS9/Wy6IJUN34jkIkuDTzIgUPjFGwdktv8Y4jC4BFaTeWWEB3aMCUy
X7K+mwgB743+6DihfhcBH1yTJWUVK6N3+qeIHIN9nxrLyYgWhx6itaczIYLhRw64z8tK+5TM0XzQ
oI4Gc1rlxEMRfJRZIZeWtl60w+CDOoUKW9DmuiWvWmfCVlvVs9aMbtCriKciwTNs/QzxYGyq7q3E
aKkMjXkB/oGk4CA0m26XEp8Z5oE+sa+SCRbbwkXbS8VGEMh0pNolI1aL+EmBDwdU670upXwn8AbM
h11q29SZ7zjeNo7ixD5gGEG0VI2blrsPOgr4p9hFVdGMYfSzOhYgtrPrF4pmY2gJ229GsrXMCXkS
yUEjM0SUMYv/TU9FEiWavwyO5RPteILugrJe0gU4lavtMlvGX86S9bzqtMaxKbXkSRvEaBPuqxXu
CvA6BktNjXZNUzaPTjdHfpdHSJeVJCFsEVn+CdI9/Wx0M+o9oRSEi8Wp0a6arHgMHbe6z0wIGoFb
kHHUWn0+gbB3V7Gik2zQVlSZucyoF4yy8WulfAgNmITFBEo8LD66aL6tCBI9doXCbtCoYXwz+YDD
TaTw6/A4AKp7styh8YnpK2gTG2z9QsF5RlpyorpvpmCoF4GTm52IjitMX2cSOzcQOwl5FxnrUJVK
YleFBd422JHvaI5EhWVrGJPzTNrUipMXvS+Fd+W0GHmLuKYu1y1Us6qWh7aLX5cilXfSpcMYYpY0
20q1AmJRXNCOwobgaYjHctL7DRlTAWcgFXwtb+I07gA6l8lWivx2zPRNrDuX3CSoZyDlIZoBW/Vr
pXdA5TTzIWzTFbla5OoY/QJ37isRBDETyGOr9FyG5Y+krnrxzAZCZuwFXV0yKA/J7NyYthK0iwim
jE6opVLXks/JQV1XfhqlecvleM2xt5+cXO4dk56o37YmE7hc9zWBXcnB/b4k26x37tyFZCLqwTTd
aNLmp3U+mG24J0WQU4+6pVYdpordO9kdLEshWLG4Hdr4sYvrR5uUpIlPoWXpuxoBMTK6F9kMu0Yr
2QIw3RPnc0Ae246kNGYCYIuIRX1KrtGokXmWzv2o10Qc1Xdjv+DzVIyTzYkkonmziBQAULMDjupr
c/YsB+tuac/k6sMhqsWNNoG5b83mo9A1KJjqvE4mNKgcH46h3MlWab1C6B/DoL+aJevQ9kAn0aH6
ypCyMM4T2irV2nWWfWsRiOOVg7NPu3OY6btidFatMJkiKAO5VizwZdZuiDL8CZqxzyMFI3AboqAa
4tgPkiwiOrgWnJUer1ubm7mH86mwbTdIcmq5UoURbmurPNiRdo5q9M8K1dHguPVHmdHot2PnlaVE
XWjgLw5p9AYA8lZOMYubhc4eayGOuSm0AJzksUzVdKfmxWsk2YtPM27tum+I/dolJTeLNlMIW4bp
8Sy65CFVeZLEny2wAN/K0Lu4n+0WE7Tdcr/X21wpNzMiS1cUG6BIWIaUcVOGV+5Ova6sL9NAUByM
T+hB+ZbIL7JpmQ0Z6qFprvronthx1OOexiBNSc+vb/iJ/qCedCE3ILl9QaPYoZdVhJhqPb11XjLK
i4jpL1WHiYNEXisMvK1JvEsb96FQxaZqUmfTzxVziTmEEBs+mxDAeEQJyErwHpeEMVVrHXnbmhuz
QmCGC+ZZxvS2DJ1xHESjb1Twp+uB2i1IUmUNF1YE1mTizzIMnEFt9DwJwdrD2Cgrvc0hFQ19ztDZ
zQyY6FNjuCsNgtdu4I/3/pRk2UZfeptE0HoAMAcVmDkD0M9kG1u2VFdZXYknR4baqbfIsdsYvdXe
2MVM8lrW04GlhQkmY2xD/mhWuy8yCeW2GGR7z9lpGWQauObbYmvOwbWQryLHzE0/mjt3F5EyeVPb
Wsdq3gA7AVrIYGxh8ZIVkifYcvngrJOyn/3cTK3LGNnob6HNgLTJpRM0mlHCFSOO93WBJiY2ra3b
jP4VoimR+8fwu5/LEScSiV8fseVOZ+3KJVy19rxcEn22X8A8wbct81FNAi2PhhPYQKYpVWThUHXg
M6/GyEn2torTgmLgoEU8QTR7bk6VHUqvr4ry4ihL40BwQeF3tYQdCr35yXst2ZGINe/jX7lgVg4h
7FdY2OLa1xaTZ/SvGDGrzo9Es26p4sbH/soby6/ksTRpUUqvNLImG3B1qldE2UhdCq5sXNp14VhM
sK40M/PKNVNGCGdZk2RHZYR65v4GQJOUVN5M8viPbVTFQbaW8RqmEKW0rk6ef+1+/lFv+P974Crt
kkl6zb9vCu8TmsL3/OsvYVb/+q7fu0LiU6+Zq86/GJ7/BW/gJDcBBOi6BsHB4uf8kbcKSkGlXQSt
oAqVf/ujIxS/WBazMdcVLl3cNQ3297TZ82+TtN8iyv7P6fGQQf/WEDJrc+kILYfXRyaW+NvQ35XC
tezURlq3izPUm/qsGNLaL45y0+cq6z4p9PY5yf3ZJdQtGnSy9wQqWC7CS9rEQMW18KMhSRvU+cha
fFLgxzQt8NOVu3Ld4UmN6q20Shmods4e9cQoMzHtMejKEL6u+dxqpA8446Yq3SjouniiP7FtL5uS
5QKYulhZFaERpprXREIyG1OLuVkNTd/vKg1GJMcydVbjfDpKwmZf3aYbIxeTB9Lk1MsZZh+f7ttk
jOllpN74Qot5FFiRCjXdocQxk/vRiG6EC5k0HI13wt6B7Brpj5sNiIToyPXI2dksbIGXuhHY+vTj
prxKe5IkLkTGqZji7gpzsVc6U4KaF45QWDyOxXBjm91DkVkE/aZvU+ruLbrRTmUOtcztwRrs+zSK
jlaL43LI7xcdVDb5dl410J/PMHuDLIqYiecOlXuBwaurrE2aqHi3JGUmNHbWUbLyLRRMhvU4OZHq
fe54SxTprKaYwVRiw5Ukl9wzW/W+bVPWBbP7JV3ulR79PqbG17Vol0aFjYJJFItCUGiqPTQVDYJb
Bosl3VvdaK3tnFB0Tvny2aTsPg2K/ZOkHaYLCSinsLt3HhkbbrKvvl1qLmO8riscpfmEKAlHL5pa
fJ/m+ONWNKphufCMcAeqjGjaWnNym1cGo93RsTw9SaqTRvBpFV418UVQKpTLTeww1et1/XssSMEc
TXudNGNE7zn/tGr+pLfckGqBLrYUGleIYB0S6y80hl5q18dirF/tOSPit90oDlNvqxL1ao7TlWhG
pmJ1trW08JYOAv9kHL2PMStxjkl1FOYhUnBa85DXaOQVcj63C3Ha+yWs4rWQIxn987mtBbp/kzF9
0VRWUZP5zV3IXM16ZjXkzo6EIparfhDbRG1rP1aql8o0lb1RV/qNHTHVNJ3+LgrtddWo2WrU6lM+
mK2v1h2m9UVOnjaKe1i2rNhlFkkT/HFgRD2rus20HkpIXYr76CwMgp2FcMvkMcmV24r+X9bjxVwM
bV02zePoLvwFZZ1sEW3GADAG29vOsJXJ1K8LDipKvclTFcGt0ccxA1k0azNURSCdhVyLejmHhjxH
0mi4W1rVz2BtWUUNP9Ttt06yfOVRlgQcDodpZOFsiDf8zfTey1NmyPtGSUvQXCQYaUodeWJaWLKy
uEJ1bmyl1OQHB6Wk7iXcPs3wAtpO61lunQVxaOGQkMNGFGFNbnnLcKldivWYpESv9LZKBLe++FHb
V4+Za3+CHj7PTnXUkiShBEQ0WPqcWaFrPBppvnVS5K4qV5hNT8v7rJfP0CYjr551xJu6/5a5a3lG
352XZRnPdMaXRov1XTfb9yLPySGza8xFCcma5UBUyYwlxXArfdUDpPJKN2aFiXiufBoIj+2Nz8Kw
0JHD6SbK9Ed9STdjCt/E5VNc12MQa8XW0assqBIliMcUZ/mivcm8JTLHADLFo/wcmuYNHDMSiCts
GNWsBZlukz7qhpTDPtUXsz7T/S4iaAGFVW2X0Bm9obrJM3dvttCC5/aZnxdMxfLc6nqgDbm5mVoc
C8B0iFwDqnEvRnU1jPpdFqV71cCwpuBnKBKiCcZKW1VzftTnTGXCwWR9VB3T63OxMfRxqySXDrUg
iDh4NhOUR7QRQ/hFGx7a1GEj02VGSbwxPFacJHZ8ky8LOQNLee7QJlbTIMo7c86eVKNBxgBn7NdT
oZ0R3S7L3IyEsmia/paXKjOVcSpOufNSwLNtNebiRlr4wIQZyGYpQk9tP9n18DOmtNGhwJjYDo9c
9I+MTP1lMj7cYmZ0o2oflsjfY6vfyDqu/WnwmyL8rFFYjIyd7etRVSj32YTXfvoifNefHUKxpp+E
EawsYWJYia+N3bqM2f+MpyLbF8Rtb7oBMY+c7fIou57OvZbiWAuxKUw0uuvPaQaSSaZ8vk3qqD9n
5hAFs1oCrQttojVG111Lnm9BpME/M0gU92tRXkggfxpj9yingYoeLGxgqJLZWJbgjKRKZdnIrlaN
jvA4ElktlFVfnYhu5QxHyOvCoT3oo8a4NRnZzE3MLEgr9A8+aTdp/DW65Ro6IOEZ6J2rUQa5aFFG
127n9ME8jLNXORiVI1INoN5rbXw3Tj+qxOlAE8aBmGm3Y3HT421Rkr2YzV3av012MFf1KnNWcaEy
oEO78sOFO1JU4nUso3oNLcePU+d7UdpuVcu03oTmTzo/jtU2RLmoFTZRCthrYbnr7M2wnM3sXJib
mc6YSqBKxM1im0+5ZUMukxEtJOWCK4Z7d2q1tajdg1G8AtK6LEoZSCtfg/W4xHxuPLuwyQzrq10c
5tuqHW/L1Nnp2vRS2prpOTkHmyS1Nx8ZolaOfT/CmwICWIF6ESXZQXXBw81hZi4hLPqJjv2kaJSt
FoY73WwZks73g8mDytQYtjEJM0t5TLrkPPbRjaWmL7EiDlUEPsekJ5Z89KBvvxhiXJe9egd71ueD
uxpA2Mic9e5s8JX5zhTgnJNbQ5ivfW7fKmZ+NETFXDrsX9KRBbEo/u7q6tw1+dly5WbRljnoZs2G
IaKddfPq+RhCfdurzRscrNdCVd/SRP9Ia+uYmQtWqKICcFcaD0YbIyaU02GhfQaiwUPQTJn1Z5Ka
LzPqrQ53jqeX/gJx5NmUAqk5jleD9dOxs4+JeQm/1OncuRKHvEV6hem1zQNvAirvTROdcz73xZgx
EzXpotvKn/XpqR/cVW2RZ6YDq0Cpppxo9ou8HadlHaLDQ5PZx9RnVub6tt4E5RSdm4QfnYZNUHPX
T45CnPamlBwZOCCn+pSN6Uma9p4PN4/tYZPWmDBb3OImqQZZAkVR8xbri3N565Z4/BIFg7B+cpRi
DVbD03Vjo2WBGtPpCRICcLzMpNLFxQklGNyhDjqgZX4yG/Gq7OZ9Zc/rOi53sWn6ShbtLSPd9Pmy
QaNa5U3/cIUh5iEr7QP3m02uo5Xv6RaGlT6MD+ki9kPunLoWdyOMgXNZdbafz+RtW2bERrzWMnuI
nV1pRl+57rKlnLI10E2G59QUs6VyE41G6utG0nvArL+ieIhhBoQHoxK2P4yp6YmluNGjHFfOIr6U
ULwlwgy9YcmUs8gre2UrVNpDHbvBaBjZ+r9bxOZvTI7fRoc6o7R/3yXefHd/aRD/63t+7xG1X+BA
CLBWhnVFeVnMAH/vE8Uv8ONc3UXAMX7D3/7eJ/IVmFQ0gzSJv3aRtG+/xx3/gspHEce36kK3aRb/
SaMILejvjSI8DlW3kICApjGRvFo3/zQ5nLpkGO3ILX01Hk0mCyIjQNJBWvCGNIOP47R2n6/sXjYX
R7qj3LUG9bdLu/XDwM06omgxVRpCR0pQ21GD9Noa0XmikroUZkegZOeGnypK6X08uQ32lGhKHoto
JjYnNIBUJHQIZP70TnO0SrPyzT6ddzDFqdPlGKcPRoEvLZmEuu1dA5qoqdTuuiiL5iLLvPhOl1Zs
XX7JrVnF1asCjPYkgYrsnFRZCFfPhs9Fqu3eUUPrQVjXNHuQC0TZR81Jt3NsgFJXdo5Zzdt0NloM
i3qDThtFgBWSam6O+eCKl0w3cVJ1Mm548jl1kBTNsmrSZeDoyZNdxq+/0XQ1fB9FRN87j9XF1SRO
LxDBT8SlExvI2+rZWjrRpQpx05eFdW848Yyedy0w4Eb5RTha710otbVhDtmTPXf1zpp11j6qonrN
aNaWwKkd+5g3SXKfDm617ZQrQrg3SSprsHmU9keepYjsbR1tkpbPftJV90nXWPtOScWD0+mS8kGd
6oNtzuaB9pN8S811mkBpsICJRJc7lE72AGqZ37tVNUGhUDhNKmdmlVcd0q0OCoQ5YDIlG5qu/NNy
++y5Udkn7EONXqifMeyo4WEsdR7uo9N/OSgOvG9gJBhwUAmqdWZjwSBCVhHDHISNFA+9O+u3odOU
z1khG7xEPXtRMhOHuGitU95qmGogQm6ZXTi1X9sVi1JLGxHRZDAmIWq/d37E4EwE+6UmbWOfpUwx
mW9c+snduMZ0qUTYfjIHVd/iJCKkvmcKkLcpRtGFR/bEzcWVWMSDHMdk12k1qyl5NWLdtTJ8flU8
nZdqGPiyes0xAQfx084muPYpXpI7FfC7P6lRT/hHlVrPbmwxdR1q+WN2zXSp3bkLHIZFwezM8VbU
mbGLKJSfB9OxzmbdNro/hq1yAzsgvSNPf76bq07tvbybavao3I79LldlaAoxC8+KqspiwwCqpoTp
3fFkTnZ0a8+yPAxTRBBdDttZGXph0T5b2UMYluGPBGJXryZNny+1w9QX9hj1A3N+482ZamSSInHo
mAu3+IbYV60oZBBkC1fJTMY8IUWxCu7wxqnK8qFE8fWXeGGaFuWDeqtN0vIr2Wd3c2EbGZAuk/RO
LYm+Fq3GdDbG8VYr4+620DvnC4FDW2eRah+uOhne6UnFnVhM3ZeIUgOx25TkHWe52yTM0StlNtsT
JoUmlnuztHeF2drQJQCzcM/aL4NqmutU78Ym0KKJAySLTUpeZbmOyLuUFWMQ9a8TWs3PqDhGoCRp
/9zWQ9kHScURsq7MwnqU1PWsdnBSs9DRMwLjOqIkSNV0VA9LCKMYM07d23FJWjYikagAB6upcl8x
Hws3FtOatWIseolhuaBbdvu+3dBpDU9x3vYeoELjga5AN9YKXNHJy6dkeouVxCI5V4ucoFSNFvG4
OepAHxl194m21eAMMuPUego1EffOjZqWODQhmx0ACtnnbDRi6UdYKoi9LIT8ya+y9qQDVIH1aaw1
JbJey4YPnocQYi64SKPmXA8qywharEEczLDpDQu0cnoR5c1uJGlj4xQHvWw/9cJlZaDWdm5l7hwn
YuurHnD24ZHJDhyEt1OaUa9a4wvz1vLUZ8U2yZwzwzpqD2s+opUAZspcLPlaV2xlKpXzlEKfA5k9
vOmt03c7e3GEs1tmZoBlk7XocQlYm60hhu5bqkSLRNLW7FUyuaN9gh6BpdGeaiJcFbslUyCLlLex
E4fOcJBCCsrk65GMT51FKFIJDTtfgnkmHiGLzpHS7DuzdNkphxn2UVsCgzLeEnjjMusJH02LZC2W
uTy0cuKQ6nu3vR/EMjzNMok+mjB1n0ogmDQyU6IxkhBLh6xiK/264g7EaBnn5eNYt6gQ1thx4EVG
0dyKUVkXoTm8Z8vIGFoF1dj5TTxY8KgitTnTplWPSqOZG6Mz9MUbJbxqY6y/ZR+J+3LOC472UCNo
YkFgwtY4mUW8du3UeusVhTSyYW5XY9caN3HX8ariontO01Hd07s6595dClrDbLTuTPQJrzNDBjnF
kDDqjJoDXXQRuIuR7OaG2j+qCwJs9TKHh1maGKkHqR8SBsg7gV+IWWzasj8YKSVxEOgCQEMkLUY4
WHTKnYqJ2nJAyDC0rRrBPmXcZSe3zYeNZSpkMbqM48yIDHOJ38HGljpWdKU5we1xOnqT4Xi6O6Ef
De2x7qJzmGC7m7EOmOneYA65EcvI9qBSHutE1ts2lVWDpVhIH475eImtjoa5zO1r01gPIhjlbJya
rkBfLiGKH8txLhV2Ckr1rimXiY+kmc2bMZprlDfHBBm7LAXG+jxRssBWFbxES97lIBVQH3F21OIl
dpdqW46IoV7jzuzwdFOPfdQxqvzcafr1imgDqQtGVdu7pR9dnJaINjbP73ySW1kxSPLCei43w5zV
2DXTSP2pe2D3LDAk/R18E2Z+ZmGmDKyyAsChOiv2Mcxbwrjzvh9XPKriLuDZO67rPkM70RpluGhq
5nQeza9JwkThMoDLCov7elwMNGKkXZMJlVV9ysIo8FPNZskiVGZT58XF+AJavX9SZ2O6QXxvtv2g
zOSDRFVLBdjHbBIlsIaw6ZbOemCL8ElNONw9qWRascpEhupQNi6LYGaskD/RTDOiIrVwduH4QWoH
Cs8DoW0Km5jk2ME6g+XB9XJmDDttqKOgzNrZ8LMwYVjBTBeNm+aoP3ZWTr69rTM5VpzuruzkeF8p
Da6zzC6jTZ9IwXOwbCofM5RyP8OKjzBmUVh6pmV1j64+kPbf8Zj/bZ3pv6dj/yIV7r7+8z9cmMNC
A43yf+l83qOv9/z7r7CXP77v9+7H+MWEcgdpk8bItHT+xj81P0IISkvrD0fl77bJKyDGFIK+CI+k
RuP0R/Pj0DExb1BppwTgYvufUQn1K17lz2tpINRZl7VozCDSaMK6bs7+qfepi35ocA9lAbUXjFL2
8My9PYzAweZ3sFTYi3bUrhQBxpMRPbcAUwRmlcZ+TKP0UEw1cy0+xRKN/64Ll52VsDfi3s4pTc6M
ubfeJgMbgLb9W/P9Fx7m/yj74lwlZXf1b/59ne76uh2I8cwRmRW62nX496fXnTA7ziKx/C/2zitJ
cuRa0ytCm0M68DihU8tK9QKrzMqCdgiHcuzmrmU2Nh+ym8Ni8XLu8J0PNGtjd1ZWRCDcz/kloCLx
tyTLYoIhRjE4zWfS3HgI5sh+/uWz/Ytg/PVXrn/i7+/Ur79xfSd/+Y1OGRfMFoaiBlLxvA1WovZH
nP1Pr+t3p/L6umj5gbekkk9GX6TmL7/FRV+maQMu9s5bB/qiD1D1ndzMctco7Ou++h8aTeyQ7fsf
Xhe6WR61COGsL6XNLv6Pr8tLer9yMU1TAO3ZmGKTFDhb2rP1psa8mQ9h2HFj0UstGX/bMHWOmRHT
pxRU1YGHg4WNQ9uxm6TIUCXNeux4uRd3x/FLXeHULmbDFCzwkTVR1te201Sp3hjpRQ+ynKiucyyO
/W2YBOZex3bHDFpIy97HYkZyrhkLrya0Bxyp/exgehrrONpN7JIICl00VDS/mbt2XIYPL3PtG1H2
vGEoPKsznUXU5aapXyDGT+iei5PAf2z8bE3ZVGO6nBkosM8sbQHP3NL2r43JPGo9Wr4zOzMOAwY2
OgK/8QYqGkH6wst2o8xFu09UkYNrBV09bdkn5kc+NghOaND8Vs+WbR9VWdYHC0SPPuHCR6c4Wkuk
tl6ft4Qv2DbmWgSz2BKHqc8XbqPZeuyHhTUoa9wIPaSOxEuQdt1Tr0wXn6d2FnWgiUG57eaE7aip
W7GD/u1dbuygt8BzFdQhVWM92T+VA5wX0COX7ARgHdmJxoeIWcIge7cqRlF2VdXfOfUUPS783re+
S7ynqql8muPTBlVgrlqcR8E81reZMO2rigdmMJvl86MI61pvGbL8EO3ZFJPSFPd8AWcf4P5iTptp
2XKClfIYVqgaaU7WgzrSVhnj3BB1Te8ui0DCbbqgEZvsAF4jiuag2kR9Sj2n9LK0wfI39OSgVZSD
b4GQ8hcqTBl/1WI1FaLs0bG2tlnbnW29/oeqZBveO44o3YsAKVj7Eq2l2clXf7Ylbcy2eq3V9r4a
tr2vtu1spLQQs0bVubt8nMLXpl+7uZu1pjv4Kuz+6u7W6YR/qviz01tH6mf71fTdfLV+U9+ZoLqu
KQPn7yScwzKW07tZy8I7qpspnmBohredvDWMcq0WN18t40UXcsd/dY8Haw159NVInq/d5JqSctck
7H7joqJv81eLeT0hPN7NX+3mUdiAGFEHLbD0fDWgV+7IUPrVix59daTXX33p8qs7XX71qLtBBdEa
ffWrO3zmr/FX6zqrnryrvrrYOz2K439g0v8eJl3voH89LNwO/VB9N/U/myzWn/v7sMDQQesaUDyG
Cfrh/j4tyD9sTBLYLDinhWuvg8TfpoU/vCAIZRRhp5BeaK9qm7+gUkv8QeyFDVYahTa3F//7d7BS
hDO/3RYhqp7IllwTYLqRdH6bF3It0N5ZBVno5cjYcD6OiS63rezo4y2acJYQE3H/EQSA/PguaeM8
RI4ovteQKiD/IVhP7Vblj2Jug2trzkDs9Jz9oEXcEoekjFEem1VdzUtq77QnhreGymQS31yEZ9tJ
hWtLlsFd3WP3IOwh6oND0lvR9zCtbRp90/yFbxAiuIE341pZrnfNrF8+9EVGJkHEqpUFLiGk1Tif
fGEnh0lXlX3Ji+iuet9pLzif65+tkyZgHgXSmHmouw+7E/lDVizZue1JAC6Vd7wYIMrLtm6mn20/
6JMvh/7nkPTimqK+YGupMjyPlWvu/dTHtsnxFpKrPtoguYsq9twRGkgy71V3qJD0MMPUOUBm7Onq
yY3c9mrQ3dJsimLAld5P4UefgKxuZ8+wYxSiJ9RmqHHnAdhhd5BWLp4NNPs+XFB/+qFtXU5ZoV7a
xXdeY6APd4cs0KIJdxrOl9GiRKql75ioDhnvxJCJ26nN9A4dvWOz1KQBXoYqK28BIgJuy0LqB1/4
03teCkI7yiE9zo07vIIRhFvTy/zZ70aIJI5CtLWzBZ4ypO5riaLyCU6grjd5WKcnhMAPbtOpfbyk
4SkpgynetlrZTxEKIHQDlefCtkWr/ofbY0bF1HUPTWhx6ye3qeVbn3k3O3gFB138iMbgakjlD2lb
/l2GjhCZio5ACGMqXs9Ur6YHqRZ56iN14bgmPucafR/6bLi2ZUaybRW5pzoXkTlWQQQ9OZU5SoI5
eo7H7hNgP/3em9G7dnpDmuysm1PCtkZBiPRofujj5NCVQXsxgbBdA2Djebfa7idVx2vEB6jWuZVM
SGV0Ul31AZuY2wbjsWvH6SPzl/CbhoTGxt6pUwTou8UglDx0mYV9MWWl3GR6SJ4D15punMAiCYC+
72/e6IkzukPnswoQBcQCHIcLOad8zJfogXOV+N1G0YMMtb0gBt2aQHc/gW87co0l9bUDbY+g9mHc
Jjuvs+dv6Vi1DxWAe7LNAh/WIZL6lDsi2QbILe81iIu3cSYEXYuuUfZoLXsqHBbtn2zPTWEqbQfF
m9tmDFpRnmzDbLhKhIvP0mLgsk19i19gb+No4OImuShuGzBd/oPbIp2q22yUZPLMWp8Vo4uAQyVU
3aDp2beJdeP66nPoESM7gjCYIX0Cbt70I31YfXovZtXec1a4hHq4aIwZbqqieKlkTRxIPj57qr5I
rOG89dXPNKNHepsiPMdkpfBsopqd/XTexO4sb51E0NVaWE8JXoqHmuPtkdGjOxZuWe6TZnmrumQ+
c+g/E2n46orhunDnZGs15kMMKUC5RjueFeYtgeTmiwmj6hMzZpozd8kpuEn67sUGnyJhIXUO7ax3
Vl0TuuDsC4kPlgri6KWAFqoHbz/IoT5A/FxGRZoeKRQWwDaKuP2+3qmuREhikCGC0ZJh3fF1DnJ6
wdou+PAi/aw0HH2zxM5xCmM1fszBMN0uqmzhw9OjiQDP3HJedmFF+VNvpifuE3RjFiaX3tkJnqQD
0Gi3NbI3GwY3DDvSOqUaZqexwRaKpd11sXzIO1zLFv/KIFbaJ4N/neXkYgUFuQmJ9YQAvNxx4mxD
YhXMJPWhrvpoq6bOu7JcPd1Lo+VOFGK59LM5OcUT0S+WwqIjSns5lOonxbkEkGfxRzIgB04q6xWc
93Ng8nsMManRruPei7Etjh18y7dJj+pcIboE+5uHd2+Uy0ODvvBoaBd/imUOAz2MfXlsQIN3Q+cT
Iu7D1yO1SZqnShnwUs+rmu+WGTmERoP4LvT68BoPVnTlBpmm/wgN9qc9pctReCWWpMLqo0NR2NFH
XkQdksswru81Wgk+gBGUmFPCQg+aB14IFpxZcB+ZHRytSRfncZdQW+H6E6ShmDXPizWPdxKb0M2i
VrSnSz7zgYMbqcZkPZRzWz37OPsYZdFI5LH9mIQgmaZ0fQQIJWdHW4d3XQKRr7rUenP4DpNKlBa4
iDm8xhcV6PEsSLPlvJ0nZBNZIqr3YTBck7Mrk/tpqcxtUghzVsYlpXhl1x5GKy5OoQKkTdJIJ9RU
tvI6XVy6vZq5uHAnLoiCwmoiGeJG3FOejNEm6PNLvqvjNyb9ftW1dPZjqI28ML3FF1VTAa/BmsPm
fWyd8DJR9vQRAude9vaCUb/UQXxqJj8/jEwzJ0UT7UUyR3Tc200johUbw70eGsfZBdIDkrMLAew3
B3N4h2SPBbWUur9HUfFaLcldo1R+Sh0+GjaaXmlUD8N4EeqCqqMU7f1Go80jYgi6DHdYFVdciTOB
HLFpF1z5KXfbBi2vfAwSxoigalYRGvYOf9CSMgVRktcgOtNgAMc3oZDUhuWdoztCJ9AB4otwpMK1
WMs5uRkwoLDpSh0e0J4ux85O1F2ragJbbFRqWwul+7YIlui+hG7Ceu15I9kMSuMBbbvcOdatcW8D
xqKrKli6AwP9eDf7dn6O8icNiQRY264LFbWvRtvdn7DEfwC/XwC/P3ULLgPtvx7iN7X5/vG//+uf
Z/j1x/42w9t/RCtHxpAXoSZAGP/3GR6FOyoHxws8n2ldREzXf83w8g+BTN2NAuzVvrvO8/93hl9/
CIotYsJ3Bd/d0P93Rnjf/h3wCUWAKTMA8vGpebblCq39AjHlLNQGtSaCJ9sZXzoOsksrscQTD/Vc
701rlnMR1/ZFgXhw2WZpcN+32sAPx9N8ZxwTf+ZTtaDZNkljccbezFn2zCFvwMfRIUGW5mDwA7Qw
YzQux06mR0crwpNsyLyfrmjbC7dEtHDMTdGQIUbUY8GplDuk27QqnqKdj98quqzz0LsHnMKPRSol
E5+EIiWxY0l9ecXYFVlHSy/6cy59iiuWwH9Jl0X2qzuSOcGHlYEKrzTpDUuo3rN6SrFAyZj+njnH
AuuNeo9UIc+2sYUdbJ+ViNt3cW3Mtd/afXbm1GNSncEnBZep252ysJxXS2B4mWKlpGmsTtKD2yxs
KxyOnFyz8GYG2Tm+LrLP2vjfcp8xSKyZW1NCtGM1h9+bNWipDfHk1ngW7x3U94+1V2oyuOqu3fZx
m2K3K0OaZgCrTiXPUIQDqNlFymVEaGwsWW5Tz+E2wYx/Zpf+eB+mfnuVSRlemho/X1j77Xftj3If
Ye/7nMq2fCyturvgD7BuSxx8l14gnxLjTfFuDIW68IOSYy9nGCJko09vUjzQ59XUjGe+nvqremww
O3AC7+Y0wG62VBlXem6fpW6E8J7bIiZBBK9FuakWa3gMMovqWRU5pEjyj9djVA3Dsegb0ky57/Mt
f1YLw+qh2hrHMt4vrr/q0sOG7Gtm3NPgzkKR7tI0w/ME4HxpWDhI3Bksdi0tuu+pq1DExMvcwN3m
0WWIlROojqf9OY4iawt8lVwPS70mcHXOmcKo/cYtMe0XSMwdA7K3yxs1PNazxG49J2V3Cizowm07
tO0u7ltAoTFtIzIzB48kx7ZD/Tt0rvjoi7a6BXUZiYu1Jvk980R1HfZFT8RF4w1H5IHB5xwVA7Ve
sPAc3s7oH/PA1fsC2+JFAYmPEjAvy/ua0+Bh7MfgorVzdGtZBdSId1biCGCk6yk0UQbDvGrgL+Pu
pHil8c4srYcMdlll96L+FixDe24W9PKkiav+YE3IhjcaXvx1QfQEazXz/6o0RLaRBstN5vFQbArN
8w6Ri42ySQj3Qq/dXK5OrUPpL9hjpcfbAJiUt4CuwkFV6IT9gx8Xj8ZFP4Av5D1peoteR7/KXn3E
nrsuiodTpkJKgZc5vS5z0j3Gqlge2kLD5gN4p4ws+O0+sMKmO3a2jQA5JM2kTJYb7dvTLmmbc6Qj
7VVjlRg6Zbg4m8SKVv7NV+YostUQFsQZ+t1o7y7zvgva5UH4JjiTTno7CwEAOaOhEstabV115HoH
wx0D+2OTi4JTCRp2z0wSLfsKGKbg3h4qnM9OZX8WmAFtVpiRqBd4dxD+OjUTwSxd35/cFrFHUrXl
S5wlIVNB+pyFg7hFAmyuTA713KUdqnPhLOl+qa3kovec/EKaibRGOzDqI0rG5CkfwwRd/2znH3Ha
LGw6pfKv7Th99sKgfVFunz/6mHqw2dguchdjEQwadlN8BBpILq2sGd7Cvi6OcjTWexSPrr3Vlk06
UyjFLeIBP9x2Uz0+lIWVHuPOQQjrSP/FGc2oDz6aEL3F/r0GJ1VVTYJYUxN92g7Vo7CwFuAe6ekR
EvbEEVlw8hz9fMCvFC/NeenX8pyZWlTMWHlz7g4RAibbIqXIFx27YJPS/DZn1rtOB4niPo7Fvm5L
QPIwB+MdQjIsVg2IufTFsES7uIrrB1ENjb3rh5FDzqtD54QnYboOhyA+9+yAkxo/hwg2dWfMDPHt
Jbfs4QRLGeMSNjypcuuh/GgheOuRR5W5+sUNF8jpoI34lzia9KM/mfKbytuu3lptPhm0BBHEbovh
hC8KW0e9CRnkMIFWwSZtQ9VuBfKjo3G8eS9KCtt7XNiHGJMHNuJs4i00MaEQiV5d081nW/CeuMM4
7b0p+lY4GL+jsIDWaKwQQXEXEnApcrHNtP3pJ5wTtVW5Z7n7xQtgFynKgDRDsRIteXGO4qhCk4ys
OubBO3D5EHidk0oBs8Le2sp3HsNVux3H82USB96pnWLS2u1ueQ/JgPg2isKaN43MqkuPD+Xo+rFz
KfJ+eWpKQXO2QqkCly9pQfZRBg2+Ih3QhHqXO614iL2KU9CWqngI44xERFnVF3JCHc7q0wOud+lt
NuQwLzEQyzRiDQOKzkgwi5LpMXFdNkREXT3fpN5ytqxZ2GmH4rLDrorxhY/02R2z4JT5pblfmESe
nTqH63eVNd7mgU73uZMiLkuVE186Zefe93EXPuvCar1tkwpqOjiLf2DW9W8s1Dfp3ium6Nzr0/pu
nitiXGJrpJuwz6uHDCKewKchny7Lgk94UgtdypmdXE41zitAzI7wxIGEBVNHt01HSsXMQ0rEcbLI
c47Y5arIgf/2QdDRom0s4p+1pYqNCpuaILoCuzRS6zerCfq3up3GB+RCOUjfEDXvOULEQ9HPtIhL
u3vEJlidxhlQoRq98QiOSVorJ8kZ8BMqv8HCxRuBnG5DP4nTnSt1c0QihilQSbnchsXs/GxFNGL5
74af3JH9eViU/QllBrmBMr7xwrF4yoduxHXY4Y9zxRjJbRdpZ9n2Mo1/WgZlxGhMsu8Kg4ki8NVH
UXg1xsI4Ii80mCXeQx6qFsJuZ5U2iW3FPPgPotUEh6ZZFt/MBk0LokXqcTJsOa5dEE/YzvJ9aU3y
UBcqs8GtmHDcBpXDxhpj7y7G43eYgUXrP/nY/+wk/7yTEHX0r3eS/6UQa7VD9v2/2Ur4wb9tJe4f
7A8M/E7AiuH+w1YCs+CAvBPQRGpS5NjQB39tJSGZT5HDV9Phh2EXAkjvv5gF/w8PPsKJgjXNlp+P
/q2tBMrjNxJauqRHhbYMfAet+G/hTblGmW2jc9r7SP8exdSNVw2eFuJwcXWF0KcXv7xF/x9kvmQF
YsfyA+gMVqvoNzJ/yFsX3sSjoqcXFqYzqzl5KLVPnqWx7GnX3f2/fx/qnt9foUR47gS2FAKK33eh
b37duhiUBht5qEPkKTaxq6oe/afMw5uwBQMqX3JAX7OXVeM+maaAMfUD6PF61p/Z0KLMEtaql0PL
yZfPguZ9dpVDDuxidUDl6MCcAGrXRsAYZvm80eFcnPmWlP4uLfCVEAmkyMzkTqYDvWFAAawrsRGS
WJTu6iHPSSVtMvsM0yTqQB1nOWJGDDlbxMuQlkPX40yMBq95nmMTkDPSgpd3oZGE5qGs9cjysBS1
9lGVYFnr+o4lJScdyA0s8jlEYcjYK4J8Bix0TftWdjP+2S5rs2IXu8YZdlmh02YbxmVC9l1hYuJN
MXyT/t/5jjrvAIKqY4/m6+SZvHA3E1A1kRY998tBrf4BIjBci3LygCsBltcoIixMnYJAWwoRFkw7
29+mnm3/rfac5WctnQAseiBDVgZpe2XZRfZQWSGQfL4k9sVgyqg4BuFIbIcJh+wGSLNDiNq7k7NH
Vlzgo0zb+SUg4QEcKY+gtGF8olvwIYZ+TGjlXT7PIEZt6zrkMSbucPBzO31Nlpidt2KmuC88e8jO
LIE4ZxMtSbOd3ah8s0nxuiFarFt2kPcc31GU6PZUZzWeWXSU1UMSNs4VQSZlsZWTsUdukohzXbc4
cs/CeOmdTQQwWmy90oU0C8eER2duC/KPMY+q7KzpxATBUo8xxUmSs3kDqT93x9IZxE8r62O1zxZn
eQ7qZVz2mXHbS3cuynInRqG941hN8eqOUh7tlpOV/NSapWIbhC56gZ5F4CUawuCD0KEIr0DsjiQo
h5F1GkXcfYt9hvCND/diE0DlOoSw1crcDW48UAHfOaQ9970sccO2xrmwQ7+jw9uCYznGud0RWZDX
ChPmSGbINjUDUUVh3CBblWPQnyVtDQrsWUvByjJ44LQRgxPK6nYQB0S32P2we4P2BWXc0jevoine
s3rIb2yolb/FpcW2F0Vtlx5K29VPWcuWDF0W4ILNSkQOe0sQvr3XlXZQORYuBs2GOQnCBNPgLEN2
YMKHCH3pNWhB3+Pz35kkyJ9DNZbLgcdq8Pee0AWm88wpCKhK1gSXEa9/dK6LbLpESttb23EgQu0g
aj/D49sv4lV4ER7ZnEGuvhmiepxJ2lmYXcXUQ9tJlDBvhqf6tuEEHQ6EelW8EV0QYIxPqvl8mTgP
GcASYXZVz1Kz02LAjtG6A1KXZQDMgZ+pQfp1lCxXedB71Gx4TCebpnNb6t+bQFCx2LvxrrSj2YP8
Iotjo/3GrffWLFFqRg1AOig3wGxsHNJsxKTilmGmwHbM10B/l5a15hboOaJIPXFicoQ5BX4Ilxiq
LfhOiCNQKrI/vC7h7VxGhw5S7oDLIjENnSh27z+PMczBJsfs4e6EgQ3CVqnMi0gw1Z54ZfV6bLoU
W0+5mM8QX4dvdRUz8Se5Z+a7Io3K+cop8j7YtaldTKeFket5SAaNgjOQgzM+gH5JxGvJTDxLVOQ8
UhNRKOU+NFlfEUflY8tLwmr8TvpJ8BZFCreFHY4Obgo/NkjP/CUVYCH8Ze6NTqKJn0/lR1CCSu95
mMVF0uUEg2VdMzxKRq+7dPHRJDWOLX5Yyp/W5CHO1jGc1HtTTd6TF7SSClvwMopMs1yQaMMJftN3
efMeJWJowbDC+dGEtsBHDA3mtLzWmAWU+AC9yIcK+IZ3bTB0HKRDDfrvmUed26S8OBrxNpjMJN5r
W3Xexk14XzZk1fBFm5OQoa+ZsUiYsU+/+2nt/cjrpnW3QZGQ6e5kfXmOJiH+GKvctPsgUlxRRBkG
r40uM3/dscPr0goQDMGM9reTDwYGGymwPRRLyhFp4IgQ9sIONDybhXhwg6mdj8nIaeSBZivcPZ6P
IrsqIFZwPIQ54mdnsTAe1v4PAhdGi3MnwbRa1FUjLmrH/enEVfBQ+Aa3d1mWZI0pBeS3CdPiqEU1
AuXj2nW2VRWP95Zse4g5bm6xgwknI6vIdXZTBQ6wmAPX8pywMn4LvGkkDbKt+ssqtprPLl6qn2Zx
LIRWNWaVHZ4W5xsIT32yI7VkCLezgDqIHGRnp2YMTZsO3vg6TeybybYb9yxY4uHW6RMgFzRQilAp
b1CfTgUr9KfO7z/T8i/TMrGRTFX/elLerlk2+tcx+c+f+NuIDNDuMKRJn5GWUXedg/8m1fVxIzqB
RKgboGiUK6b/14js/wF0xXQcokD7AtaZuf8akb0/QsGDDmLvMUID4bj/DnAf+r9rQ9fyCIySqy4I
agF96D+OkNlElKhXWYRQFy250GlNsKRjE1aOa+Fx1cieLB+rHxPfwcqybl9qIogdIPI7KauUtKsk
JszC+wEk6JwNodceeq/y9g649E6tjq8qSHapxgGDyjzcB1m9jfA3nVkjSgJRrLghXwFywGOSEkjK
4miO+u1CUJw3c8lyAdvntU0qgJWC+LkF4cupuxzxMv8siyzADbJ0Rz2RB07KJ8EFVrxLpHzqZjs+
ZG3+MJUhnLGXLK92MLkbo8PrbooO/dK8FNZaATF48xbxzAsGchpR3Og10PNlquILux7eZGljAIku
jHQJ9wBWAuU/eUN/4v64J8Sq2nRE1qe5NWwWEeEHgnbka/42mOAA3/GkauJfrZaXZvf4m23zwBiQ
gOxQ05AQ74arLnw3EecVE9NZkQnyQMJnbCCgxkR2AByBnS2G7leGzW1oxvQSBHlXpu73Qkz2pgwl
f7+AEvIWYGfGN+I33R2f1m2o2ZtBiw6kKVx6o/oRK3RJU3AaGr/cBz0ZfyJ1rgpchxiW9CkiB2ID
lPWZ92F5FpVJdcvQmO3QgTnkpbVgqmlCVr+92kNC4G+Qv12Tl1QixJAt2UpekLmY3iZl+YTW66kl
P86LxHd7lobAUmJZ24ksa3SF+yFuwkNTj9fzpBVbyfQi0w61oO+fQknnk6rSPd7wH3jw7J2s1utm
ii87Ed4wXyDf8QpxknN9E+CE29iRPCvKGfgRB9ehCNwXicWM/2i5ncvVVyrG/iSZbI++E5Y/bEMi
pa3iR61kfdTddCUn9zyXUu1lXVx3Sl0UPplE44xPakIrfxlM3smZshOswn7o8u6gPYgXViT7W1J3
L03NtQzrEe5G34K+7pDZStWqo89V831Q1NsyuCJ9KRb5Khs9XdTxaN3F3JpUS+N2MYmIwN1ne+NO
0Rp+ZGoKOuLyDMZPbcexeMGvU51UUxFMw0jI0xMWZ104UiVdqWBnybD43tqVt3WXjO6pSuutrgOw
Oe3us1lc5KZ6m1aRS5pcAgVCymAbIdOuuxGwHddprt507X1Py+CtkAkbTbsQ3qs01S1G3pW9ex2J
4rmziHmIHBrnu+SNAf0yjjr8NNI6V8skqVRnLEl4TFBlvPGtvZtwB20yeCxnTMkvGJGokYuKFUAW
sPv4/kIL2cNsdl6yBgaBftpr3GArP+s+3xceT5YzI422KxYH5Z6KNZkmb/Sya5BM82jHKOr0e2rl
1wXyNEQiyyufcH/RemQPZ3MFeaGrt2SYPnAx49dRNaU2WarvU/s1Dq8c9Trw3Qu/kTYU0U0Ubys/
PasTePJk6faWS+BNlt6zNUZeTNhJhAadGeA2T7ANkho1TwQ6hMkFkaFieYibhj75ycrh5sBmE/fb
aInjFE/EbWpia+XJ7t8tp75y9DnplR+uRlasSvDxkAS83RK7lHS6Lt+tXhERaNMSUFQMqkGBOl22
wze/zliPYAx827+b0CVZAaYjzjXaCDpy3/vuQtQkL/sJASvDxOv1rbcmYvj1veSlSspbMdjf8R3y
qF3Hdn47VRQHYumCE6wlE3b5KiSK+7DDL2zAWqVpLiuPnq3p3c29M79F6zKn7bnOJt6R8KInAbFL
6fNYY4YOXX5CZl4fEVL8TMup2gR9rY86q/edmyIwnLKDH8WXZNIeJfGZeSyC87FwTtVgGDPbq4mY
xE3GCdqAwHNKU5w9ZUfPxiefHsighAo8uCUyPkT7mwoYnaaPimQmhHkpsVcbRzTq1lmzNF3KtYpF
vfUyA3SujbWDPKcmiKBdvLJuxsBI5J9TaPL0rfKOXapHzJ7f9Rn6qiVm1a+9+ocbx7vYVg8FcT7N
0K7pozv4swPM6y5fLKIyhOl2w9wfVZ4eithci8X8mMfuZ9DAHazZQSSJ3SZGf7i4WnYEUeqNtFzc
7kv97mbhfQsmStKljXwtbW9Z649DWlHjEg7XvEukSkfC3rE3X3hcZaxR7bNKbO6Ajrwpp8buhTam
wt0PblFBOU+8S9mdmYdn4zQHMkIbcjFaSrrGqSVNCJspYenLJZjKlRtjNIdXFkdPWxPPmV47rASh
XHF3gQ2DyROHGQlzUGpASgT+NDgoVU3omFXg623blzbizg4CoQ9FNrwtXl2eBYK/dNGSuyRx287u
KaqsNX7O5kIsblXgIJCS8eMis3sLDd5m1lOwKZ3yuQ7TH/Cr/kZ2xC7yZx0QWZZ7b9DvhLqRY2Yx
uzsXDSsDVBi3FU9K0g93XTUcxOKfRe7w4trJcfSm/rxcz8EkVU9pMDYn7jRrR3wAw/4w1NtpnGlG
MeV1rdtl30LqEJQ5EYVkNc925ziHHqILCCkgHWHhjEd4Gh9LVZc7D7nocexI6yYvjERM/1pkWHEH
ynpE+aNXrovIbSFYNO81CMQwHuaU3o7FoZAcNQG6NgwAhdLPRhuSsBvCrlK/7LdIPV4LzUTgBSog
ldkiJ9gO8t1MYs7JKYuTLYbuHJyup62G7qm8n8wZUBQBPw0d4u0QbkZFrV6b83Q1cI2ZEFwhXdNQ
HAVJ3Ses0y7J2ZfGdfsNhNVb4o/uIVD1ix/QFq2Z87a96MiY+srPqtcorThb3pI1XCupEuKHiNuC
7j8h7d2HCWrikUSuSmc0bjiPk87OC9b8KnC5cwf3A9s2atZZE/xGamEsQgf/KUAHsArSo7rsdmiq
ko0jSQXzEDpsUXLdE3PknBFh96y8GHFhP96WSUoaXT5/NmvOWNxGyWYmeowj4zsMsruVayrZMlSn
iZgyEBuF8Z3pAjo3g+OoL/Hc3OaEm1ndUD9Wa97ZyFdtP64ZaPaahuauuWjumpBmiEorZ5uODMCv
/TL55IOpBF8P0WoTc+Kmn6rmPZi9ExJ7zvx6mBiAIdmCJacMY81pE0LdLwS3wezcQvYeDYFupCVc
VGvCG1zrj//D3pkmuW10XXorXkBDgSkTwF8SnMkapRr0B1FSVWEeEjOwm15Ar+LbWD/Qa/uV5Snc
f9sRjnC45CJEEsi8ee85z6GQ6PYYJtApQ4KLKtBJcCNvrHq88Vq4cZlApql3LR/RwpJr5CKKBC+X
LZw5kB/dlv4DA1E6J/VCo9Mg/+37hVAHnvwWxDz3btA+FkDsFBDCAKhdMk87Z64Pme18HIDeBQ0l
PKLxg14LblRuTTq/WDeq1rzLk3xcuQNosLSHpIe75dpGy7jWPAdPdHPrLtQ9mOXmpRLodb0xf4r7
AlFDzL4MrM9YqH3Zwu8bRy/3G5B+SzvoXNcR30lo1AC1phtrAQDitN1amouMfaEDpgsn0FqIgd7C
Dkwt5vlOrZ7MnCO2sxAGBajBAuSgVcMelDb7azCzY4DIWLlTizn6G0/sOQZcOJkSEytT9IVoyDHa
2LnSOOVT8N7q2Scm7+/RgkHs4SH2Cxgx78VbuKAS29C4VAs8EV0e5UUVnTqAS9d8xzS6Ri/YOFAX
i2/4RQZ/9GTnOxEIi51nfh8MCA4zUsxkwTeCEfNB95JXCN0xTul+QnsUdgTTcAFAOiJ47+u+8zPH
+EqDAto4z+t+WsCRnO43CpIkHcl7GxxiAKs3XlCTXantuwU+CULTn6BRggYkMVQzxFqBmAcxwAt3
zrpZipK6ujFAW3Y6Dsoc2OU31TvmChDBIf01o9FQdC+YTBllxFQt6MxQjxntad6nbCJRF7pmYURn
p+epzLtTs+A3pVH5AzxO5WafM/ichVHf9/A68TJ/rBaApwHJs1uQnjmmcR9l43Ux4h1DQcMvQwCt
GgQeCuODql3yJMvqJKxpXmlm8j4uAFEPkmiJ83zVw66yYYxOC2x0sWITy5URvdU7tR8tUFIPJcNV
UHLoMiCWmgu6NF8gplCZYMHANTUWwGkBRwJNLtBT3WnBny4gVHtBoiqHe19jSrtOFmDqjA988WTf
sOHd1V3/r02p/WObkqB38ec9kvPLT7vuJYnrPxgnLr/5S6/E+MByRmtDR/dMb8NCrvhLr8RaML6Y
cz3TBdwkBbO+n3slhvmBP7BplriG6cKZ5wV/7pUY+gdYT1iXmD+6tHH+AfmXadqPszb8U67rWjpD
Q/ub5+k3s7awq12709zAt0f3NCluRLjlilFXM9N0pw/QkWPVBl7y2cRdc0pzW32l/ANLUWljlfli
tBi3RxMHrJFlgoDjIcBYoSdJf+4MkXgLwEEciZRBbx8py2tPGWDBk5ZUPacgZFMUaHPlWdshTFtv
IzKou4Fb1XIbdSDDy7itpm1ma8GN3lPSbyZjyh9oSnXGTTxRuaGJn4Zavdv4G5sNfNlQ22KStVC+
F0auH8GigK0AdmeyoLcLgCAGoEE33lEiBn3kFY0Pe7FXvsFIC0ZipZgxaSZqsX3O3jl/mnLiFMrJ
dbttjNmLxZtP6BDRgffwRdXtI7O4PPBxKCMJysM+N7cCXaHBuAyRD8gnwMB2O34FxjDukKCodpPK
gVqpUQE4lBjIM0jUcXqSch6OeWYN8VqD+MDAwjL0d7PVhycmeZa9TjKlYxAekhFoQ5w68a2r1bNC
3g4Zk73GmDw0JAGWM5PG9Fcn7N23caQv5RuLinUNo4uBA1ErzZHWUpyRDDJ5Yt1pEphK6xQkfRKD
oz9PiA7fWmRbpE7ChNcvY1+R+4JKdEnjhFyvH/EIyPGYk8wy4ZYIM22dG2VgURcG6Q0wfNw21pA0
4akx8rTxx4AhjY/1VI3npkPP/wUhTdmdenPxV+RzIc9lzQRvE4GQv8jcCsU5S3LEa3HaBdl5Qnqr
1hhoUOAZA2GXnHvcmnls1WG0IVDhwaqFDd2ngIMhDF2ReffNJfzNMAzXDvNw0zYoxF0dmcy+6MKC
MjFlGLexlWwrlLLR8D7n5fR5qlNEmjySaOoCiU4K2VHmreVsjW8QYVr2/iV9RK8EQSQWcCS1dkf6
5Cu7Ux1WsJqMBThdnQ0TJJ6gRalWSEYvk5BskboxflFuEu+/LT3/Nq2/a1r/R3Zu0jX+80V5VYZl
+z//+3/9REeJVb0tf1q/VHH7kn3fy/7vC/2yRlsfoKh7Oo1klkJ4Eay2v6zRNguxLgENG0jBF3b7
r2s0TWuL2QvrMJFRHmnp/12jrQ8OrwNywUY3jhrSlf9kmf5Pv/p7ooKr01Dn8g6NbRv1CVf6XhKR
CLtNRwsYqGTodqZxCfsarJVpx4xw7SNwGuq9vHmVlazXWWWSYFkGqxbR4zSaPh6kF2BycOPG+2gy
QrozNosQXVJyUc07JprPcw94hiZaCcFC2sQra/bW84ZTPIoTOm2Iq6axT0m1WucZWThO8KhI93AW
Vk9pBINP7/OhnVpSNVzt7OWgaxiPuWSVzNRzqDZWjjv0BLCw7PVoAlco9jrfY4FeDQ0Y8npMrHNS
5rcRI8uFenPK9bzEmwn1SxiE9UaDA/WlDN5dJnicAiErlSFrbKaSaVO4LZq1tH2r8+JmtvNXtN0I
vhCPb6EpwKMvAdHxYe05adPPrRSxhfrsZyaU0doJt7GpzsPECQ9NLJ9cEHVrApveVEBvEPkEGX/h
cBFDCcMnjPtFKrarOkjFQ9k9tqqPt+5EZiV+rQvyC2OddHm0a4cq9qsImwAqZLkWKq04kRvVhV4L
AcqYWraRYKEfJtIFe4vE0h5dbw0sANWrg4tfq+6w0T6VGQSIoId77dknVZanGAc80zx5MKaOpCDy
Ibv5GpCTP2huvAc8wA8Ey5XRUA7WDYwmpd21FuSPcixvAnoBPjvX42jSogLdDgAnLO6QG8ZnbMHt
Thl1g/0VZTijy3t8vUS1JzZOmrbbSqzJaw2By0oMerTTR+in89ClfFruPo5x/c09ISaDbp8Ku31H
XBfQCqPz1Slb21aeQOcKGwQxQP2caYzzGLWeWpqXZPqET0NGQJRTAvYJ4w4mMC+8QsoPDWIKIZy2
86XVU0VHAo6fq+Fg8hI64lBZBJ1FjQhaPfrslmidXU3bhBG2i0TI27QuoDn2+rrQgegauomY2hTX
VT5e2MiyDXMd8BtheeF0eSByDc0+9PNtGw0K6Ym1Qwj45NQSc9U47AbR+qlt0his+cBxZmA+Tcj9
zUUKLK+c7xwRV3TZS0Kl8a5f60I2iFIkfFmcHpGtUWQ0RGXC+9vUg0nbLJi4SUoERznHIEsjaG+k
c7RqPHm0bcYg3LAMR8eZU6LZ7WFoX3Knekr0GSVA/VhM5CRFwvgc2c3TNHVXYVXf2b1zQiJlU1fh
ZpwaxN+a1u+w4harZMZlleXZJe+HO73XXmovO+WdILTN4X+MVbczg37TiOAZWuylhBLux8agrfIl
/EZFb6Zhbcs09I0wSf1GwDIkZyxLCr8Dh9AUxS2d/YuS8TEe5MnypuPC34xM50HE5XnGEA0c3YLa
yfHHUsMB3BRS8HkCdt5+qcrqsQyhiBopm3NmudeKLuMKHfGbBbFpNc/tzsuxSph2/+wW2sfG7uii
FBlBy7SObSO5syr6UyAjAK5Rb5YRpag5aADT6+mzQTCRN5ZQIZH9Md8B996b9bKI9Wcsp2KN+uBr
1oq7qc53JmEEc0wgtEXync7xkgbEpYMHWonmddRAubD43w19fE5i99l1s/0otWgdZDDxHPKDtP4K
E+k1FJcj0tYTnrf7RjqCtTVnYqZRLmMmuOBgCNcwBPBbVvXB6VTFBN58CPtpXImovmsl0XSj1/px
NN0nQ4LIBvOcNeKUD81LIawDCX7JunTy/rYfB+BbcjpTFSdHrR6WvILmNPX60UaXsp1VfbHNELAz
8VXO0K2+zTWQK7ypMTpyNEhX+WgGx2C8Jh1soBNNh0HCQhcAloOGuhG02drcan6DK4nMyHjl5Jbw
c/QO1YSwptKq7oLzAqefyg4InGCzk7GwSwyOwIMoP5cauHZPUzHuxfg1jQOEQl4imRZWt90U5jtd
BvSE0UiTWQCUmo8doo8XUUMSMolTNNqgSLrqU9oyaWZecdq+Ic9H80dEfuPQu76UwX1pycc2h4aJ
lotWXSQQmTsNIHJL3g2Gl52V9SCc9lObds+VFj05kqA2Os4GLT2DtsvEyNFWtCanwCFotnVOcZWK
bdanXxxigfZR3ZY36cwhAR5KdQsbS1C+p/dU0fVVU0dgS/tkesRIHu6KeujOIfMjf0QmdDYrvL8Z
9ezKGFHUDOLQqV5uXGGRVkWoHKjW9hrZX8gIjjUd8gyjnYH6Oj9hcpxfJXQX+GbkQcf1bWsHL0uM
ydwlr8ijd8FMEnKL6/6TkjJ7ZSnZEj1cMypY4a+jF1AAU3fJOIo0ZhxOmK1j4gfK5Jx22X2aZs8a
VmO6K87JbJlYoiX3q5g8Sn0yoRxk08YU/y9F6/8PsbKWDaHpr6rWh5cse/vp9S2jWu2+vnxfq/78
u78UqmgodMdkt7YRAcP+RP37c6HqGh+kgTBYIjKmloUe/muhKj7oyCoIEmJNQk4LW+3XZoL1Qaf5
QC+B/gRwK4vK8h/0Exayym/FyZZE46Ej4LCtpUXxgzg57A3a9Zh/4Ji5hPjtkkQcZnXN0nxs7E/S
SHbmBPh5IJXUdn1CwNaaaDadcZLVBO6qIO7gylq2BMRARDRuRX/ogTbVC8fBvczIh777mP9A3Gz+
nmit856RZi/qEwFQc3lHX19+zcJFOTlrWT4Bo4d5KaD1G9PziOh5XHTE+YOJDgutFGlm6I6QCtw2
UEiIt3BE9CqHfACTqo35wEm07D3f7CxIK23YANyiFG8ymCgu3hmdRMYtE+MgYoJY2IITr50wrqND
QOFaWsU9KRkMVQuZE3aZlE10NZUmQ7sC1gf7BVkEwZ6nups3DpxNZjuOIDtDpVSAnQ4eKzS79mjA
2Br9YuLMC/kXZYQPK5G4pdbOzH6LPtV7Kbs0PiYjPgUfjyUxLCSlgmerXZMQuQ5OdUpbcTnttmAp
9wRJMpZsmczsJoyHuOdnUJZLBML8PErZg8FrUEOuBSJXbY0dh6Jx6AZnw5eq7yvNhokmuxxKlde7
UC/aKkAq6drVXBOtY/QJWXpKX2auAIUTp6FFQJWlvXLWF84eKO7wDM2ye5R1+FXUmlmtm6rB+Bhp
FQnBpqkEM4qA+m9QRvWYObGM1i4TE3is0hreA21yPmqQTLR1qqvQ5M3m2ZP1bfphF2kAMjo3XkkN
Rlw51wUFX4k4+Kyl5ESsDPBi2nEkAUCtyiFYZrhCybdIm5iz2paD963v8JpdzwvXmj5sjZavJCIU
RW9aXtDGFcHa7LCN+I6sBQyHYvzcZB1a3kiOQhzdOq3vkqIOsLDh3LoP80ymKzWq7qGhlIf027qp
hiuzFA8Kax/K79zscObPMrzmJkQJEM+hfU+Wj5nsxhGjKoWFYdNmk3F/xx0XGftmliPfDPccTBGb
vNU1tungI/haRD5Mepx3+ijo6tOUE0tURFe9q6LT3FbyopmBeg46+BtrDGYp/W2VP+ETpd5Ia4Ih
OH9FSbCdWouuipFnJb3plPhK34PuvbHKZc8UWVgejdTJ0kPWFvIpGFJM+XrvPqpl9Csa1PgbfIzB
ubETFawIM3ZAj02zc4sJAz0v4hMK9hBFBYPZHtwtfZlKhXun7GAjqxjDjGYOnDZbNNbZ2oRJjM8P
4eqtMltmfpx+x3OWKzQdbVzJhc8iATJ6YK5NEycc9q60x5hVlMYnUCQkWWhc9j7VQ6pDYnSQCnEa
09F2JLlCniJAzzCly4bzyELAMK7Rmgv+uRHNPQNSF/290+zocAIp7UHlInUA7PqArJkgiByo77Mc
6+HGgAbMI+A46tjFMPuYeZGSSzaRucbQ2aYbqyEyE9OgyhqwkLF1LsYYm6Pmdg2KbKzF1SZpQydZ
a4YToPgIbETB3ZjT/0NFr4jP1iaU8rw5RPG6FJVPRpgjSQExDLT5VjlcWZZmfOmSuPiMOk58JYWG
7udfr64GrZnfbQfAtrBUYvE3yL777eKKVFmkY1QTJLZTq8K/PATHedWv5Cq5S06vf3OxH836DnvP
9xdbbCXfreRhqqp0TrlY+uLeohkZ7oY37a4/5h8xCJt7cfjr6/241S3JfLoF2AtB7SI3XN77d5cr
EY/royDbt3GB7hMiZh3GkhV/AF749teXWv7mv+3+cClHwJw06U15S5/p+0uRRq3lA6w+Pw4e+8Y4
MEp3nHuoYXF27eUp8Ut/48FZ9Ju/ueLyWSKANiAoLD4j2le/uWLsVIRNhHyW5QbZ3NcZ+P6jfVO9
Tp/qPYCqRzAxJgMyEGHX2v493P71+/32hr5/wz9e/gfPkVXFZpO3VbaJr76UO2dTbwb/U7E7aX93
oR91oj9e6Mcb1A5Ey/iBoNtb+ha7ceVcztY6Wb3/zRtaPq+/ekM/3JtIP6BcB9RFxpN101xZ1/ld
fEtcQn2NwoPMIIoDTlO+uxfPf33lP/wivyvIfihvhJkXWrAUZBAchiuE2X6U+8VVf8kf//pCxh9+
lN9dafkIvnseqE5mFGx8lB0KkXyLD+slPYpdiMH7Lr7/64st3//vPs7vrvXD/WEHVW1A48o22Uc2
ieBcfiSwLPyb1evvProf7o3QiCIHIHi20e7Zyrb2Qd7LJ2ZWf7du/d2b+eHeMEDfxF7IdeKHuFmp
jYjpZa7snYE//kR8hf1EGC0ZFGQ/arvZ3TT/Mfj9Ozr4/eiALePPRwe3XVy8/s//+QPspMnv/fcA
Rhtesvrh51ymr78cvxzxwQU3yRQVO6T9nz/6eZZrf+DH33YKtOicBHVe7udZrk3ejzANHUIAtgxe
9R/p3u3fPYQAa3S0FTonRKa6/Ou3D2FPMzXSK5zO+dxcZVUntwAEDszg7EPsDsQJYjvc6AmiE2Nk
cFgU2L4bs3ywpzpe502CbjLH9I4zH0q0NT7MziTWs9FOmJqcTzb1CG2jlHal5+bv7RDSwaoIP/f0
i82AtsQcKR3+nyo0XkYTRKBBSBdKK8e3Bl3R8eM/7ZmorRa21noqkwOSW2AKml4hPi3yVdkQCk+4
5isaCFTCpaJoL6ZFAIOyRTmwpsqA/hEdqyu9k3S+cv1F82hFGdVAJvaY52dT026YuqE9L4p5i0vp
XlYcgvS6fY66bPLVaGxmOozrbC7v7Vx9DHtIZGJk9Oo6V+OI+n6essGnIYoOH2UY6ZvhYxsSREeS
LAwXqDxfzNR9HJGDZ6JRB+FU2sYRoI7txjhSDiD6y6C2zL1nrk2RGtfGiJi0kDi34HgSxx2YHf5C
/Ua3B58gReh2eWzuopKOGMU7ynTU+cCvEEZ6XYiEl8STdNTLbVostK0OFq4CeAvTsLuqyljcDWFz
X9kTyQDk8BY4zJDMuI+TF7yjesY8NenRlh5d5nOefO3SbiTXhDg2ONLHHqn8jeWmN+OS+wVm2aN/
johELKlgSNu1G4VYCbiI/Tl3jVcLYelGECY2W1iE8AU5/kDQmG0QhVoSPWZZZJCVA2MJQSyZ3jKr
WXLKpGrWFXwFBEPBV2uUB1qTaPuWdLN8yTkrl8QzAgVvuiUDDXfDdUoomtUP906DbQOS8xHMBpX8
VXdsvp0irbHCz+859coxBHN/O19X6dTT/MWLGwzuy5jhpBuOpffSxIywivNMFnEHWRUSAdhqzqGR
eZiKay3gDKGTpUHnOGo+Aps7jgyILDu6VRr4aUlqFRQJNEVku3sY6/qQoRqIgL4F1qGNL4VxScsX
s/U+4Xy60fTCR9+N563chAmRwrA+HMc3T/QnjVthlLdZmfom4TsBSZP4TtVVMtOZx9UBxaYKdno2
nS3kd/QY8ByigrQJbczbfcCPPPgZbSgP0KzN+KWDBAopwfrGRaRhLtQGovO6iM1tmulMCCnbAsYl
PBzlJmgjXwbqa1VXD7U2HDiRfEkq6yEX5m3vBHfzFIyQKxJfmcbalncLl3U8DsVx5k4OC3rLlVzb
WJ61vqCriNQiKF81T3HUdvDZzViPGRNo/R19jGMweToT9RIKXnkwNXfXo9Ui5zneD9Lcg3NZAwK8
CuN562QPFuZlxbuftLHdDKNG9GLUXeVucZvG2Rmp1olTDw5JW95740G58gXwNm83N3dtamyicX40
C207CHWGiru2W8zhpEUFY/NkJsatERNZmtI6Wk3tjWlmD60dvsVQweccObpVRddJixwa4svbPDZ3
bPnLGcxPsnLjeK8qCjbAbWguCPIfEbwZ526qyH85OtmXdMp9yKW4Fcu1YVp+UX1mKr229WZRIu4I
p9nKKHpKVb3pe+NUmNN66pxPYia6NKy5g0DeeLL5NMfBMZ3DAyOGfHyAK+iD17R9WWodGD3b2oLv
P9s1/J0GhTemmkPg3mnJq5t9soqJhXHQAQHNuY/ghJGgMZ4rh2XV1sIHzsk33gwdPk+nbA0jdUUU
VTW7z4x6Pjt6eLSm5rnvkU43KXQc1MvghEIzuUMlnbqvE9TLisRVilP1OHZhtVUOFBrJP9gLVffa
JiO67JoQo1EF7s5N4/fZ/ujibMoTJJ9Fo3+G4YykvISL00Mr0a8bjPGrZrT7rWqXxxcM6XqC/IQN
e5WXoM9gITECNOLXQHQPs46kbtbzewhhyIvD7s2ux823ff7fCui7Cmix3AmdeuDPC6Crsm6XLvRP
9y9F+1K8vtXfN6J/fYFfKiETDp+uG7Ri0bf9phXtoGuzwFAgl8B+h66Ms8DPtZD3wSQ/w/RgXyG2
QBVHNfxzLSTBblg0CqiQ0DqYLNv/pBVt2787kLj0tQXtcLZedBPuD0efQu8J46Wv7IN3SVdm4EEq
qxZomYpEi0bVo4W2r7Ps3LdTd5jM3HqKLHRCI8JQ1ikQaEnVlp9VneWbkt3mbNQqvDIlobtRVZiP
zjeSWrdA1ageyD5Urp9B9QIR0ABem4UbUalIiqp1neI6+JKWhf5xLBWxDYFe8IgA/jGyVTjk3XOa
1F27YjXapVqC7R09WlIN+5Jn8caIGZwtXZ+0x+2kOnPdV9BoJCTCtRVCuUVTbFe0k1sYfDAZ9I9A
nuJ43aVg8VFd6/11BVPsliwovbgGa8CCXVXDjRhQ1K2yskh7EHkYo4e6QUMq9Cj9bMqme4qmFlpo
nZD9TBTg0e3xDMyW0RwpModt3Bv146wDiSaCyos+ZkCDwF1wNls50aB95G0BsagtBXA6qJ7LEfdg
nMEmxvJe2uta2gGGys5kwFuAPhxoThI/JgkzckiV1oPuuZYAxFVnZC923aHrtbzmzB9AIWSKcF3j
Jli1o5ZsazW7q6Sfmb3W0H5HvtRVVo2tYpBN932kD+yDCwlpClk5/sJoQdvRf311SKfeIRLmC0aT
QxLGYsZywo91bn1KFNMGtItb8BpbMNeXhiw+Z5bXxjAfJWSzhqqVLqHnZkV1VRPe4u5SBII5f4nR
3pBMYfsZ6rut3cSPuT3dDtkC3vOcfUOOo1NJcRsYdQY6Oe83ZZqPV5reHQhOcTZzXR26uoCkBLdu
nbjavNLdOdrGXcXKST6ET7LVdjQm6+zp8L9mtOMSqb2RFE+hurUj7blPiHWzKpiS0I7gSkud7EPt
mUyFU8SO4sclwjR3Qt8S9Ec7D9+NNDllZend5w4qBS98MR3nsbXa6DKh73tAssdYtQ3xVXqTd98b
HmzCsaFU7RCLZkP9kkRDhSrRna8xhPR5HW897Fsw5EucT1Zxm4QLgdvDI5PGGvhJK0QVaGa38bxU
fBxpnmhbb2uN9EjwD2xV1dUcDbvGHvcDwvG4JAsbzzeZhNVxkjl85pnRQ40pbV3V08gEpbyya/kx
nuSxyputZ35pRFsxtRmOQ+B8zYp6r0l696q4ccP4UxrZHoKIntCuVhCN5toX0zCuerbJPOMtzemW
meleTr1zrKUzX2qkKfvCzrmfNjw428DjUE7NUt63VbSgH6NzpxUXrwa8K4u7vkexUEQ4FAgTj4Pq
qTGIs/LM6txgtrvpKiIxIyN80Jz8vo0i4ms07UumSnTzVnuD2SfE45bfRKPgnb7liUl2fGbthFTG
vFKq4T5S+fCgWcQ3EknUj1di6gG+zCGwgdVgDOWnrC0Z4JKkPj+BbPDIYNQi0k1U1D6ga2yfDcKV
D6Y3zCQbDyZeyjmRhNWZxpKpPAMEPOl8DdtsdrsHy5jl7QDJekstl9arZvEj1gSL4IJAAHaUFJUb
yyKtGeWZAoU15c89alKDw0wTfHLmuDyhnnReqDOKM/6f6BFYj/PUh2I8CJ0xCZnR3Zn2fOp7TaE+
Ndhx0i556BnQrCfBqrUqgrI/koPHSEtIbzsx03uMKzc/ObGIvkKgtt40VTWfGXM3BL97zUEjzQ78
jl3Oj0NlKoRGKLxG3BYmrHbDHcPnvHPMd+AFNie7pjAvTut9RNhTMvx2ynY3JiFn1irWcjLLpHjR
ync7q7x96ioUqoWGMIEqWj4T/tyQKNmgH1K5yX3fm4HcSV0OLzNDr2sCx92C4ERpvSe2DR5PM7Pk
3BKN85x4i7XOHLtrDfHuk2qk9UxKXH6ao7F7x1XDwAlImNGidfLk55mAv2Hd1L197mrJk1S3/UtG
+YlBd7n8oM8kVGcFdik/siJrpel5hSlzVC5Dt86ONpyAOd4PDDWJ5Ykz9dVzNLRlbKfhWgUCVaDZ
8JAFngu7Bri+9zmD+n9gTIYsJwjnFplNArSWEPny7JnRXRHxGfiVV0qB5ZL9xB9NjBJNElMxW3qe
EOyWdG95s5BWQmvU/DKJ2z3SdJ6R0Qq9fV9kne3bTkvzK0uSaQCh6+4VQRejYT51Y6hWCofXpg5l
dmunGhphBlEp0kJgOeWQQnUrw3DnCaUuRlp1z3prwDvSW/cTsbTAb6MoPQXQSl91r23JS2+tbVKS
MpFTIVz3xbwqzS67aycWCPjl2psVudiQ3BaHKcCf8II8ONyjqXNe7aoPHnPoJmpNUTxRKQQFLNKs
z54RrfD3D/rc+ColTkw+bZcxm6NkSkim+PJv1frHPowlOuXPy9Z9F2e/kUz8LO/ll34pVdHwGmgj
PJNo7Z99Fr/Ie+UHQr2IGcHcS/WJTOLXUhUMHBI7JBPkZ+vCAon7a6lqEBVDk4/JFgXsN0rcPylV
ecEf+tmujsjLdgQVMXNNlBO/bdvBYcxi9KOtP8WcjcOyzpj6jclnI5TvdWvew3mU6z4yn4fYfm4z
Ia8Uz/eNUSwHRCZRrKySzKdUs2nIpcMXJeZwV1OP7aciokp0pEVC2lRQPjXFu9uYNJInlEo1M/uH
KmHJlRpBtCR9VeltFiM4ogpzy02X6+FVMBv2Qzl3xZfWHcS26FKBPqPCAw+d3fM1t4LFSw5HpVgK
ZXzVZYH4goFj9pPUnD81Qii816r3eXahajBLI4YKGdO29drANzC/l6sC598qj3LrmQiClBO3CSvM
LkW3NiPaNi1l3QpGd7eDIW19bNUIOaAM9XU9ZyDCWHlwmE1kgGOpNZ91FdubPGcnAUIapRukWM3W
hLiI3buwr12EAhywAVyh1gXuFAbGi44bYtMS5Il2UYPTzzR6O1qYUe2i6nyyVotjGZouE36z7Nbo
je/Tdr6iQ/q1q9s7lFrZPe1E7dALwhcUp5u9MRGnPGN0tkaoUWAhWOnAjbJc2NraRRN8EXCirjlB
fUGlMV9pEmVm3OT6zlJOdtYBcz/pceTsJtFrsCTHiQlclJOJA+XSp1Jn66xzMlAnW8Ic7dIJHCe1
DoQtZ+6MR13MtMXGXN6CgtYviTk5B9jhtgJ761J4V/wwpCFKYygAnho71ka3ipqvnNq89HJGpq7d
3gtlNdem3RD8UlnuumDhP2SjU+61MnU3LUP0fZ5YAENo7ly7GIdo5CrDfeqBO+/BJz3lS0IqUs8c
7thoX09V9hIby/aaTM01qUXsBS6QO5gKXKMLTGODsVbfulgpfKqCeZ2VdU2iMJAFI5P4lKywFOvA
rqpLiWptqzvsaxVYvmSNyphtP/Os63EwbByqdXXbT655RSp0s60BNjG1d+KDbQIqm0re56i8yk9D
CYhqMGCheLI+x2mpIehmisUh7BS7DXp7GleZ2UC3cKNzojjr1Y3FxooD9xiKxth45jzuu2J4Lwl6
T4io2JOnUa5ik34xobHJJa6M0rfq6GpIaqjLszWscy3TtiKeSfWJAPrRt0wOIjKe0Gh9TKviNqdy
wUkeBVtOKYg3UPgnqYPNR5T6hmrgHpnnS6/aYxOlaKYUKUVGdHE8OlQClJ0MqPzc5kFTpTwEtr1p
QsTF81TdqA6eg07oyMmy5B4g14h6JN0KaXABbiIQBM+RTvx6KlJ4ZT0sPE7tCKinJcfSnHdjqEtO
JYE/iByTwVjpW8BsdOhywfmwjTgUmMnSIpqeUy2+bSMG8GO8GSYTUFmqHTUai3bCs1850V2d2NG6
bUxrDfObuJtCczYptNSd1Jrrsi9PHZrGba132McJXEaO1EVrMyQehbsfezR82Xy2nkaS/049lDq0
pSb5cOmT2xcXQl2+IjH62iJOCVwa+KivV3nWnTJ8eXQJs13MYroqwmzbuuUhK5sDTlBr53qLkmJM
vnqYxAv7Vhbop7MWcGHdR9sgtk8Bj/CTCySCihKUG8QRsp1i11iVubrocYXEs4hZLlo0nrl3lF5W
kW04PpKrtTHIgKeFqq6HwT3koXZwgddd9JpUQLwmWD9n8PamzmDBqk6DTQCyFiXXRT+aYB/Vbagr
fSVmeCgyZQivSri8qQ6gN0GUxmIX3CWVSDdaViFSTjxzT94HOQFFpq/ZF/ZTF+A6FeOTJqbPultd
z4ITn1bO5hpNF4A7S//i9o1FZB6nb7iGuU9UmEOIPTJez41rRhq0DaVM/WExQ42Rt4+U+yYM9TbO
1rwGe8Z71cvHyBoDDNxWSW5VXO/nWH/E9/Zsa2j6ozoVfqoGd6MN8VVEnXTq63j6v+ydWY/bXNad
/0qQe34gD4dDBsiNKFJSqUqqefANYVeVOc8zf30evu7ulMvdNl7kJkACNNBAu21KFHnOPnuv9awT
O9VBS/se4rka7LQppkGhZ7wQiOWJnBm2ZWXRhB+wL+t5e8KkmDPNsSneu+y+sWDCgc13OX7eh2P/
haNzhWQcQlIZOW9wiu/MKX3E0uYzyjoTHkAkFQmuPQ2KDQtJua0DiClKGR95sq8mgpK40fRbFjHf
69ro8TWuSTBi0ZXTdlxDluJLZLM0JNL2WGbiilpDJWjIZHEIlvdekiBl2Zlxw1txrjoMDeaQDZt2
TNHkq/amc9RvajgdqwZQBB6+nS5Y8ctg2eXNTaaGPlBWpOzzvhE6XhokRHV1YBZ2pbHF+LVpnDVW
cP6Fl1odtC31yhOcnb2V5t9Mkt7RxZkM0Mr6a6Jna6XeuopaE0jXKnKn9iPlNA6a8EWXV0DAr1RM
d7AAjqXEsV+b8zUhy8MmjO1dsaSAj4cUNTnshBDG8qaVJqA4S3svTcVPFTyPrXNWjAA8OL5EB1Xy
mm1abzNyP73aCtF04sjbItya9k2vsEkmLqO07DCmqUL0kYi29pzGOwJjnh2cEkDusNSFmlTPVShu
x2moDxIEIizOcNiaMb7RaqExLRSkaEOT8LxCI9iwGk90KMi4wOi/dECXoQhcgEdEXzEy3gyNR2n6
XQeXKJ2Gb3m25lE1eNzBFvqwLDu3VPFL1inYfhihm8FJOxfbUnRJhaK9sHRmuyBTF97L9FUYC6tk
g3Ie/03DK0YbXAHsv2VzeQ6Z3yEODW9YN58UkzKlVAVBf7UArUdj7qizMftjMeI/ndXWC3TjvghB
52gD/xZzh9pX+1LuOJdo20bXagQBMcYjZs8o/FDF64YNMNNU2gPqy2VnZMpN1DpiB7FkJ206S0UB
mac1CrJw4aJunUWiQ+dJxcqIGyWrDDBUMnyYM6EwjwHjj00Sa49gVmWUh0pFf1oXjIoXpdfoUGmv
Qx4BREd2z1x0uG44YWNXGHD+pvn30VS/R91ws9aIrjFqJwCQtTvQ5gQfSFpcGIPPyZX+Si9oT6ik
jUOGqLMzy0rnAbkAiqqaT/XEK16judowbDAu83zJL5ibxbgl8pp6gGOyyxXfArwtHt06PpxJwKGq
NtuhwIvMxHnpFZIcdLkltx2C91wn+zkxwkOcNXcpTEMvwlO0L5s4OOLvAnVSpZYL6iZgVqNgTUBD
6YMcuh1w/3qFNrR7mRQYlvEeeZIh2FUbW5bfxXNwrAPQWOOI7r7tYhgnU/JS4CV0hxAGQkoEIHiO
0UShi9tiQQa3MVa/VdBVIRJBFVGJdEBjROq0t1TIKLHRfA2BTzzVLQEABQ0isv+UvWhDtvNiVDcM
othXxuSySkCppX2zkMoWvWZ9DAyHLiDqYoSMDA7JBxNoFDVQrW7RgeVwgvFLEsImbYwCP4QlcOzF
UELg98z7UiRUIrbSe0quOvuy1i7hXUj2f11caeybm5EJ+l4ngopQjvpgMQt1+3LkuSvGbZeX3/BE
hXe9qEwsTGxg5ciWBFOMvorl4autfL647dV9QDKulHI39mUBR20ZWAc5hV8bPPJYOiZ+lgFijwyq
ZEea+5E4smd0zOyqzppfbVu3qZVfVYGVnbJ2GPFL9GS70sZ+J9EQGv0CgIsJYnKMa4F4tKqh7xfa
ckM6Tb0LSDMmak8Aa81wiS1pgnxB1RnGEj3LJkDXa30NnMdwMVkWAXZslUmZtmZHeyDWnPm6a7Xn
BrooyDpTP/Z2PbvSKetdpddfY0EdQwJtcZe11VVh9V+LqD5DYii8iq9Ao1A1d47WVHfLWN2CGqQY
kmomaIEPOOLm2n5xVhOmarfaJsw09L/2ku/wtuJDS0r1UtIyxTxFhm8bsk07TaO7DV2Ku4Fq/QIR
brnrBsc+kKZ129IFdkJqGODR/bORWOkhlLPBBmFSLEdzsG1C2nF1o79l2kj7kHPge4gkRGwk9FHP
kiS+1ENKvmGkFDv2svBagJD2tSQnRmtUnkeDcTAWlHV/SvO1ykRwwXq8VZBpo+8YBudFLtX3wpqY
vSBMTzZp2DbbUZvs96ozYdoNBZLzaMn8YCojqLsqi0ypJd9SR6cPbOXLPiFl7gr/P9sGJ1Z1IkzB
LkyAfw6kKKNSd4oVEm+SqY+CffcmHSKoTnMxfu1wF/JwOJf/v+Py7zsuqyD0P3dcwF4M8dfm/eN4
8EfTZf17/2i6WM5/8TgJtiNbIltVdZoa/2y6MB80cVsAVdfA/dFm+VfTRUAP1eGJ2kBCmVdCC/1X
00XlL9GN4R9lmodeam2j/A2vilyv8pOK0NYYRaIA1VAmW5Dm1wHiB8Xi0Da53WYZ47yFfEyAK3g6
QR6mJg7UkE7GRiQM+Gl9ll/Iy46vQ+BG9ibug/TSKB2cVNn0RKkdwHPO5u6Vlsx0k0QDu6MYmhuE
JDGCFfrUDphyr9Kq9tgEnCIH1lW3ywyKy4xcmdskiaxvAY0rgwjXcUu/dDtkUXpFx9i+U+Wi+E5e
FX5dEx+b9Up3XKZaP9Vx7uynvlsNsYnYkDUc+uSPyy8JQ3M8bLtmgIQn7HtrzZS3Kzqq+lJsRROX
uzEtTgtb5mQViSsMe/YtXTdPmjmQcgRPnXQ9YRIjpqOgyRSsc53J5hMPIf7nkIIduhT8mShDzkCm
EYfv6coZpXxeFkg5tLIRcgl2AEsbSmZc1nzg2D3k7ogLkqimdX8JibpINh0KNp92thuK2tMZ7NxU
HQhAYIhdVd4NUaYSztqSsuQ6WTI/4MKvSjfrBkyTlCM1bmFNpJM3GyLvNm0za70bJiujm5zf7xEO
0KcwbpoL2zFiVwIhQ2B9HxCnvErSENakhUlYZdOeI4GnPQxIUhoCYCUDGplNyXx7O4qDVgffxTLS
vUHCz1pXNG46hN2Vpk+cSHGWMzo1CSWE9H1RBS2Wx5W0UavMIo1xusly2GtLrrc7pVQWl6ByxrX4
+FJswXrmC30BIJctwwv818GroQm5tRGQ+dPH4QnnlkJVYeYnYShs1nRL/NqAE6tmhbOvoqFivkzG
66BnpLwL4OgODeyzzBKNdOJE+PmYZzcNjmJGB0Z51IKS1l3DKTqLpEZOj5LuYieFVdVABhNA6rwB
r/8OjnNzn9TZrlZfoP9m+1AvSpJJDLb9tRZceCivhsk4MptYIzuLaZ+GL4WTnCZhlc8WEVpvY2fS
P2SutWfoxDDByJqdiinUD0kNSmPq5hiKoxzRlzWah+wMgpEBdCmtlMQTc0G/cuLN6jpSPlGEWFt7
6TmI2CMBtLBp9lFfq4/QCdqHviSHtbN5zHs5swGo2tVsdIFPxzW9ALEC3w3EDddzeHj0lH0qEt+m
0vFmKOQjpGDf0cp9lWYOfRLpioXQp2kxn4LYqd6rVHmGO9AdKm15mifKbEPz8nG8xMMDE2AmsghL
hnXOW1O+dzMPTkxANU0iCQsxB9FngGNvqMuCCZwMdmfqEw03DMvSje3MxntsjqaXJwXwXyY23wUk
yH1Pm/LYF7M4R635XrZxhFFaea/iqN8FKhtqWmmwZ+IXhUp+Q9R1vqUWFgeUBNpL11vZFTHThKOG
oyC12ZBebXT5Y02w98Hq7OJaUxrgdjVnX0YWon7CnD4eqIgtL8HVcEHX1rkDU16f83rAz2aRY7PH
uzqfu1B3/Calup2bKL9tCelkPj8n5NYt9bHsg3pPGGzE3ByWzyOUcOnPk5HsClI19pm058ehBk01
Oa4YitelktOaUZqcEGeOVGqReJj1sC22ulWgvEudzlNT+hw2jEqol4Bxd1UBSSAEWH+wlzjnmJwp
MFCnS6ZW9nVppNF+JF/pJkoELPSwcFpXY1btBmEPV7ZUYz9qE0RwRWLcjm1EQAO4n2hblJb+1BOW
SF45C3alX4bkBcxWcUVJ+U1tqvkc2Ul/TB21eZ6iDJe00Qav4ziVV6kBHRq/8fTkmA7NIZn1azs0
o3uXBkQgBQVi4U1RT91aGJN0Licmf5KsNgw6pFan6X4C3XHsBjN8iwqGW/AT0+IQqGV8NeirdQd+
wcVY2fMWlUByYIxgnNNJsw6LVlh7SsDOpz/CdqItNf6/tlIehZUafOSQ3p1okCCGSFckZ5CkdGna
Q39vzYQk7aIl+SgWFWFaeV8c6zmWD1ZDRGrAWhbZD1XM1kOmWJfuNE2TDOBJtA5lal4uc2pe1ITn
yk3qZO15XIb2Moa9+MIEEZolg+CLlESKnaqsJZqhaBfhbDcX1PHZFWowcV9ryFBHq2OAjFzQ2Hex
ddtrifOCyoxGO9mYnIVN1nPMyjLq3hDWcEx14CpsbK2Wx5R93QcRJd8Qt7QnY4yivarVhm92i/Ja
SVPfL7mk1VRVfXoDQBamcDqoJwWAJ79ECHTWKQts+X2HMT7uAN4V5MmCK4EmDJR2mEtIxE7+jvUm
3TtTjUcRmLP+xUxo7wMqzmaaxmJ+yiAx1SyMuvNdyzGW4Xajpxgwlt9Klj0UmmFxpMWNdqh3xvPY
iTrx2vXpnRulpG2aBUSKRw6z21i36GssZYd9PU3T+UYn4e5mClrligoDqNGIVefa4BM+MooXhxq/
+R5MGA4ZZ+7gXzfTU6lZ5fcAwsTLWCbW46wS14Cgo8mAQBV0Y2eTk36IcPd7Oarkh8nBsA8N+REH
0QbjcY61bk+H3CTgLMUamsAuvXNiTT9E5Cd7KgitM108WHiqE+UwMZ0dkqaWpbXh4XQZY2vtpuuq
5hvdHBQf6tLC67AoO3yrZpS6DZIg31fdGONnbK1zGkn9GDR9+tpKmgCBDPLHvi/FyWkqg88wzJ7J
eW8nkTxv7aTjmuB9QyoM5tF7yxzkIY97Y9/iOnTHvpmBCEK1elKQqB+oW8QbVk/zK2Md9MwGKhrE
UgvpzUZSeU4kSF1zOt3KfIYowQGHoQkccIJvkGX0cNFE63eW0XansHSMxxTk0LlXZmihCuLsfdrE
8a1T2/IyXeNnvLbMy5c4GUtf77L6kHYNj7AM8IButMZU9uHMSysSGN4RZYRpGYzrpMRFa/Zg/qLB
egi0ytiWs6M/SrX3u7wo3CLPD+SSBF8zsGg7JyNtdcynbmOqI5wEAETwn4XJYjM4xnOsl81lFI7z
V1sRZJaks95mtJuieR9WQkGLG9g+gLP6HFaKYAwvMjDYgXUHKLe9oFzvX9mkl21djbgdqfDOzNlL
igBjvmOturSVifZ3Me95o5MbFPvNk0aqN6M8XUXHL0Z1D+ACDQRK4ruyRNYEFSuZD2hwy22rZO1l
kowc2eVkOc2WdpfkIOvE9/Dj2TpbR51uw84JXoMxiN9GEKFPcd+G10rYUPYiEq4631riPrtP2BLi
p8QYBk6OmvrQGhp9QEYiT2IenkbDGkq/gnhuu2Ro9jHoszD6kvfa8s1q9eVm0sLpnpL5NVGtlU1C
QGFak1zNC6XMvhquFOTZUl9QFqBqUsKeIktEyS1WueLch/B1IpnwiRNVe0hN7aILwnMi9fIaM92D
WZbDYaGleSb8BdkIWzpiXLjFniJ1wDa4xF+GLB15nHXFD3JB5pCTqYNbGIyJeLzRhzXMEq6XaWmu
HDTrVyDTZjdb13hQMJM7xtp0Bs697Bc2VbrBoXNGXx55eWfOt1DRZnZyFNZmF2CJTtJQ3TVlmtEX
15gh1G12JKAHqfRMxAdNjex6bNvKK5mC3yrApTn5FEpF070frkSf04Iql+KgjXL5Ciu7OEVVmHix
PstjPbK42FZr3qKOmt/kNATXRacxLTSc+tijgdwYgDO3Q02VE4tO7kwG17dgOs17MST0LWahA6DS
scFh936KJjqY3BeNjVPXGANt6tTW5s1sK/mVKhlWuSHYJo9s1qz1FkelQV1mDr5e6HVUfEF0jcsg
u6uWIHQ2RqDz7pTkJGzolQUHZJkSFBIHGZT+xAbGsGEJu6llhJZojO5RacbfjGUMngpYbg9Fr1mv
wE1b8vpUxzPbrntGZe08YXwBJIc+87VQhHO9lroOlXiVfuVU1V+b/WR5WRT2t2Y+IrQNhxEwUlXt
h5ESPQsixIVUo+8BBa6HshYLaRssj0Gy4L3AjLKPosx54+0zjqQvLr5Jru0mSBQenUmou/9nexqv
ZV+wpN6+h3FZfOxNmLQe/nM3wy2zMv/2cyjg+jf+2cdAl2xizqJdYa65XCvT4n8jNyQiZzLMpVgT
wtc/+ie/EzsYKSbM6xBAq4aq8kf/0Dkrxn+BoeCPEE6j+4DW8bfgcKsM5ac2holketWuSM2CMYlM
++c2hgnEaHaiMvdbz+gu88fytrs0n8NbzV/8YDdtZ3fx0xM99OmSQfquOgAD9vtT/aW5bQjT/p7e
47LK3YsBk+3gzduHcXt3Wbli6+yQMm9wBhxiN94yu92olECLv2xmP337cMuvf3g3/1vR59dlXHTt
//zv2uqm/Gjp/PEtDI7g67cgf/HnbzFyIJIl2XV+9tx71bY5tLuIXgLopmvMUtOj5TND2EaH/Gjc
/uHSn825f12a3CUDdYiFHY+f6mMfqI2hPmhGnftit/jTCxzu7Nm+yh9tbZceUzc/LDRe5HYpTsXF
7y/9b64M45XrSiyAzNA/2fVie+JA0Le5rzrM0O30cpwkY57plA3aH77lL5eyVG1txakCQTxP5af7
GyBY6FXkab5kXFVFQIEyL1QTOu629/svtd6un37JT1daP8mHtpo1qrGxNCtcVb8djbtsevj9v699
NsyiRBCWBnmLFw8BlvbpAjbQgi5vmtQ3yiSqgc8PFqDwgqfnCWJGXp8cWytN31SWoP6eV/aEcbc1
HSanbdZOj1U21pbcyKWc22OVA4vdl1MvqQ7nzhgec5hzOgL8hryp33/w9Rb/fGMg72Cox6KJosyS
nwzF6lQCtJrzBOX8w5xfW4nNkOdHi/p1+h/he/lv3qNfbz7vj66Rhw7OhgeL9unHm59NepwPLdfo
B94awLvwBH//LX7xmHL7WQchEgMmhkX5F1Hnw+/byy4R0xLEPt75t0orPJ3Y8bQLUFkPD1hcKTox
rhnBVin+8AyvH/7TDeTKHI3XK2PD/fSiqo0F0hb9v29dhbfzVXDdXcTX0258+sM3/PVdWb8hUCCW
dVvon19LE8V2Ugon9vXNl3pTXeob4AAu2gPX8ZZdeO/sODq7f7io+HdfTqomS4EQQMc+vaCFI4O2
oM/pG7vsUJ7MPZY/f7lITmRVHbTD76+24qN/uZWOyVdDbUgD3vy08tD5Mwt647E/utbOuFDO5ak5
IIjavOPB8wdv8BZ38ugMurgivewPX1Zf//nPvyTtEN4CHfElrzJ//uEZ4kwkAxEL2jEH66Lmy07H
4GAd7G23H/akzF7JW/MWwAXxFsNmcelBJ+/Ju/KmX9sn6yQPzgGW31Y9ysOfsB5/3efffLTP2+lY
hQynW+4M0+NotT4CY9l3UPfxBZJf0uBRo6ezwbGc38kEkfOf7s26X//yAViniaCyDMYm64Py8d4U
JTBUEFk+pele91FY+vaFcMe97aUn5Vl5jo8dxf+G/xjXCJ99cVQO6pY4zPvyurkw9kCs//DO/7qq
AAJZly2ihhgRfv65esiMCMv6yO/asoiuVNMGXaTJZPpD1vCv12EPhMFFL4mlRaif3oFSoTimdcUK
iUwEcQMpq/QOeEz/4fj7j8vkr0sxCxHRwnSv4fYyU/r5Ho9EktLExXQah8arReCMO/Cu4PSG9v/7
N+2XtYTJF3x1jfENMy/dXDezD7+m6RA1b1czRNJaQYpkIW+8KGImvsWfdvhVFf3zg7NeykH2wX9J
3fnrpftwqUjL26Bre8UzN+ntfOrOyjcEnMfmnF5wsDgTV+PV5+VhAl/2BY3XH76o9suPB+GewwqT
NKA4gprm528KMcaBxZQpHjOeQ3MILiI32jqUT8KvToiO3Lff39nP17MEC+UKrbOpbFhKPtW9pEAu
mJZ5TzhReuALFlPZ/v4Kn387rsDcS4cMR9ihjsnx528U9ZEo+miO/dkloug625f731/gl6/A1BFi
vKZRta9DyE+3LBQSse+MQDacgPpG5sKZFXCw9/euQtuGGtOmttUocA17XYw/PBdKajVZP+fadlaW
0EcqGh1TG//F370KvVfJOYSt0+Bcs+44H66SkALFw5nCeqqV6iqRWnAbQgXb/c2rWFTK7FqgLQye
cP3TT+JkY4tds8wBzS8amo2AWZvdBH/44T//Lmy/qrBtkhk0DnXkkP/8XaCPDhPQNDAKRANgc2p5
v12BzOhPq8PndWi9kE3pzzDbpKKS6wf5cNO60XHCQDTkgTO63WiiLlz41cDtcuLHf3/nNI6k/Gsf
dxa6U9DK18IQkBQv66cCVKZD3GbOmiQehNlJDwsporPVFt1sx9s6r2DCYaYln7itDJ5HE5Qe6H6T
jvlG6ZLxPsNbBjY7b1TVZ0q+oLoMo3YFYuvh7FZytL53c6WfKVHR2hdZp5JM22rfmH/LyFOJBLxO
MCWW24gwQ1RydlT5kM9hcicw84mLqjnKolfEy+N2vYCDHEc6ttgIezhz7Ah9X9LY2j6EpJYd60WB
jOt0vTl5FkOonCK0byHEJTH6PNi0KkDFKAmXrcjUenokyD6w3DzVnelOt8JFczaRFkGaTnBJ4fXJ
Oph+Zp7DPDTqdLhpI0UT2wVC8TWi4H7a0Ql3MHLF472dznzQyl55DNFEcuaGjLTsa92Hjbpp0bOT
PxYE7a1Fq/CqDtQ1mULmDBeHSmorxD1rtR03k2Y2OO/g3Pd5nG349QryzXQgmtuOaAbUjGo1gNyo
dJTB6ihPFh25whtGI0FdWcTWzVAli+EuCQZ5H/H4kG2iZShPBR+qch3OgU9BrTdIHKOQoKygxBqB
3LGrcO9ODYHt0WKt+AZsV6yfEiPudkjG9LJcFvParshUdvEAL0RN8y6SrGQIwrWMHJvIxZxVXG1c
QiKL8l6tCDmurELbWM5Yfal1hAGrB0Ki5grVTH4XJmmpKIQSWgi9BLNNR7Ytu03oJAtaeM1Q6MAm
jRKympP1kS64EryI7LQ4Zlg6OGGya8YKIauY85wknLyLPak4MMxpIJKNoy0zIoS2JKhnrJ0OTKJN
y3fbJyaZIcAFHQLzmmF6iQjRU5B2q0R2JY5OCWcnZYoprS8nwidS5rkC/ne2rYqxg7ZLrzvYiDxv
HkICS0hrNnp9uRxmg2iykcTPeA/DE20bXuopQ1rIE7ipYb37kD7Ebs4L0uNRdEEeBGjTM6FwSAXj
bVr0J6kVxaNm5MBu4CV8laUqq23Z9SQY0lDkTCVZe/ajHmt3vNOLuW8sPdG8hP/31xwDbOMqUtqv
fewQYxWisPjOs0XC1lIEuC6hndDHzdNuRG8sWrUl392M5AEUpJ35IfQ/c5tMGU6fnsdp3s6AVrhf
YHpecBhMPN5O5SirdKS1H2ph8nqRY5HjEKxStdiLGmUa8xZWt406B6W9jcTgHCsSL8FqW4PKiLio
muVKH4rqnMC2sxF9dhlZ1crURDjwOCpvIFirr22Sx0CJUJrcqXpn0m+KYmwhopQILmBU4vJ2lsjW
6bDWSDQ6J8nQ7esJGKKgnFOxQSWmxV6S2OpLKkohuC+TfCDcdHipzKQKt8BrVE9RcnzueagjjFWy
/mTLWTV5WXPz0sxNNBv4qLqHXhfDrd0VqKkJJUGUUOfYnHeAi7pjq1SE9Ur2i3fGXPXojrKVp6Ti
sI/u0WlRnyj1RMTC1CtkUWlBSPRmHQk7dpM5Tr6nlL2qJ1I0RlueN3atWjjDvGVCnTee2ZszE5kp
zDXC+gJEpXNTGsnWQSZbbYM8v0BYMN0BqFVuBOJHVEJxp6z4TIXAL6UwnEOVGlGzJ2kYVg1m95jg
GcqOwss6gabZKuLW2ARNLmjr1Yt2Em1MRK+DZnHYTEU7RpuU+PpoE2HpQHRBu93c9lnDk87UKGgY
u2O09+yyysMdHbNQQOxpAtNtlQFdcBMBC/UMvFD9QUZBsGvDKoUVIvD8u3rkxF+aBbGJ5xj00E8M
kfO7jDcK7fRYExoLnQroeIKhhcW0zLEZ2EOlsSotLYL+JCzbr2HfGyZ2ZiNDfDlHpdgbtTZRZVaR
/T4KlbwJO2mbfpskNWwoe276wTV1oon9IbaWJ6etHM1VZgYsrkyrCoUgMfJun9sZV7azDD6WNgQj
PM4gTlebbBWd+tAGQGQQM0B+ja1DIJ1TB9o5TRDAbEUvTOgHffy9TpTI8njTA3vTdwDLDwaGlnDL
mJ2lfUSVnKH+sfFVQGRv36u5nrBxK5jGNuY86dcZccvYtgODN1Kz1RhGJtXtW2/nseVylhkQXBmM
f4k4C0EViMlmaS3inkloahSM7JJJotUQswpeCw4lSQ10n4lXbnOnfLFk0kFP0bVpYLgfAsxSelNA
oMkEvG87H3gwqrwjTkSxUValoCUbZ3gJe50AiyS3ZzYCMyGyowowsxLE25AX2aUsPMEYlm8BiKyC
bS2vtItossimZsatkg4r8RO4HAqMm5KG1P3ioC/aLBwA3xKn6I+O3aXphiwoSMT0LRXSRbR8PA+A
eSO3EqP+tsD0rHYjh1PchegEhq0WN2CUp7yPUaiqsKKVhmykra3jqiBzKDTAAxXyfZZOMHHpaM2Q
q8JJ3zhDQwEho2nelfX6P4+9WX5z5GJbG3TAlCWtNjMz1btxZvWCHMKjlbea5kFs0rT9BNsexL9u
DcpLJzVM81WrpbofOVXxhelyj64MRG/l8sQlz53RsPKqVk3NQeZ38mWYStYfFF5UVnyT6n2wqoqb
MardskcOWE5uPdSL4ZkqUnprEOSXytFohNvSBCVBXF26F8AUeY/GtoVhxQG6f8zEEmMLsfXF2JoJ
CXYJG63mWWoy3AVT76ge3q8JF8rCOiepFr8acbC+HLKNDV4GzJ5viToBT2x/xVmw+5at39On+dpM
UASQKTf9gbTo3nRZWM2nLDWgf2QdlIi6y2fHlY2z3M6ScCVXjpr1VpCj8YrECdE1OVhN4XaJGdyW
2UQEahKM8j62zHmrhrod+7GWmqD327gQ+yVoSD5Gc0iv9xKFTv9lqLkhN0Wvyu8LHYHIa3UrF5An
urzfteCVNNBwIzo74itL3StH3bh06pp6UDSqCRyMtJUFy8GUPZA/Vi1gP0LzOe07jsMqwO0VX2YF
iPWtDPe5Hi72vDFaOV1n6CMK4mSN/0uDz9BFKPPDx8iz3kER7uUKqYV+rOMFu130bp1BUvyPux/R
ZnU5tVALGEtaJ6wm1Xg1FJjBTnoeBunNgIisg1PSiREANWqPj1llra0wPujKpph3dWPjWv4/TScL
EYBrOxzIqfH4IYbM4OOGhx8JZHrNee+C9n1soJf4K3AsFa3gCfgRKhaj6yTK7K8ksYXGEoX5j/ww
OUDPsbaJBocPtpQNG4L4tXj+Ngh4Ed7S9cuXrsEWpNNOr6DvdLiEYIbVyhVSBdPek2QarOTz3iQ4
qUSf4SBHtzsgf3BMetKchzCML6tq1saD0rKMpFg+l+SOHRbmGFTULNyJasnD8zAM+rhXjIU1m0of
Sh9JPRbz3SkexgsZ2cRWp8gjiwujhVi9k1UQsgQhB81YWwPnvrP7JX4uwmJ+JmxYkPkwFnK5mApF
fXXmJK6BbqnjuIfpYoRum5kNrmMTA4a5W7FA8aFmdBP5fb5opdd206zd0PUa5EkUae14wDxYS9Su
MZQNlqcw28oi04zbJFex/g1tkEvUMqRnvwvyxKdd01DtXBSBCLILZEJavC1gExpnI51gs9WJKcw7
QO7NCSTfZN8QfgTjwWkVMx03FfIm82BTJ1ovscpvs11GPIVQ24BnX7Vqz0Jc6z1i3mac+ngrJww4
O4fQKYGaTHXQQFpFbfmZKIzwusnmCAsxmX2jlyVqam8IMZ5STx2LAJDSIhRiyftSJy4aOTKkSh00
9SooJOuIkx0KWDur4LU3yTwPXsetCr/oaq87JGoXVXu72MZSXJo2mXgX6GdzzbVypYTQphdylc4s
t4PT29cTlJVyl1tq82rmuLAvQFak2U2Z6ONTHfaOsiMd0Rmx/TUlIE305tpVr5aD6tVyIudXMbtw
fBHjbIT7lDjs0SOslEjeEJ+Fdot8s/hCPkCsIdANEJvFgIuB/3BsOkHJAwIt+X3VC5mK3PLHBnPf
mYTRdDlgh0QCzPvdppJ91pxWbl0VcbO6ziw61Km9XSJ2jrPJpXTJvgOKV8qLGg3gKp3AsDIey0Uh
dboDNEWBqKJouQ/JYu5Olt6Av9eVlqevKyP04dpoR+a5zGItPLZJtJD3G9ODdZHhxBoBxPS3qXzU
QMPfFy95H1zoIrNBDBgqO2ZWBcM3I7BWOp5uP8Lwj6EVIXN+UJHYDndKUhbE0MwjetiAg7RP2nv7
CmMQKVtUzMtFRtJAuoOLtdyVFfJO10ii8L1TjbHZGgrxim95Ww7BYzMm+fOM9xrE+xJXV068ELtu
AitlmtWMHGAMugpvxPGiuczVIv4u2qVW3CKqzPJZlCqkKZMI4eJY5o2CFFcmzmGqS7Qa5lLlA0eU
uLeOBfASXnGtTx+MokPCn45ibK5pCEUPH/n4Rd4lxCz9i40/VEE3+D+w+MjY6mD7eyL+umTl548Y
/LxBw0hU2r8I+FGS4TzIlsrhu/2Gex+l/4u6M0luG8nC8FUctYcC87DoijAHWZYlS9bgtrVB0CSN
gZhn4Da17EUtOuoIulh/IClbpGjJLiqi1NjZpBJEIvNlvpf/ANTlVJWgB1yuZO5FK4vkY7/rivyk
EshRsgFIRcs5weMh/qKJCpIEcpHgZRNGZBIjJ0zQnixko4sOY1l3P4SkEQXEtLhVDlWvA5ZKTTz0
hxW2DgKw99pMqQRV8PDzOFXl00WET907zyGHnbJtW1hHEKRM5J6qpCpOWgn3izIAZj5MwHWS4HXI
Xy0GZZtFU3zH9XPcG0P7jV80JiotmSx9pRyD0RorYoGnDw6+mIOBB4AqUMJhGSvYjhZEgl7gJikU
jUP/VGnc0zgtq2TsKnYqHBXsRKGY6WxjBk5bVyiIGXiGYehh+eetDPP/JChdbKgHFWod7mfDdZKr
1kXK86hyBHKulqmqDdpWE0HaOYUNoVlIEEAN5FYHDk+6UA3MxGEOYsOUpCMD/HY86E+ub/ICFa9B
JuCzCtmyVD4Cr+s+64Esf6rxn3TemoYvQR8RWyaY4PhCfQTezfGGSbHogvO2iVRmgJKXo0oD5U8t
wtU7NDt8B++HVmkDfJnxu0RCtK7Et0jKucqgKVJzGlsK89dJQ+dU9krAtLmNQcq4TDHiPEJuSsNQ
TjBubESJLnTftlGCdYHXjmzOVt4gN1VzRlUumHkLZWGi0SYkefQmI6U/tlS5QbtgUbjnHopUPTM6
6o5dx0qEkatHvCByD7LohL5W4eznVPmassuuvGoRszVLo15xQM/zGyfKtUu1MrpLO1zAkWugmOVD
2eqZwKZfV5MEH5IvyiLU4L1TuqwGVejlEDsCTBM6CVuJMcSI9DoxBPGzYvPuxrmsIRSQVA0rcmUI
NOS1VaEfwumpqxO4tTl0miT1s4FsttK5YkRo/wl+yjKZt2lyWaex+SFz3PCsiSjtDzKc6z5ZrSLC
m44bLMazHADaQHRt4zxR/KgBaWo4F3ALDX8Uu0I7i2BmBoOodvTTRSmSBBgarBY0jXX9vRfYhfam
0kNXOMz9UsgHOZIB2hD1iuy81ioW9wZ69QCahPDVc0JSLNNVHGEM1l6WR7qh4gIrLUSTuqvJAcdb
O+tNrDS3iEj7XeoGZEkOBZsc0lKDxJpi1Ui6pvBGaLw32IhUA7loPVRPNPjazmghBgm2X1lPdTB1
z8A4OLJc0osUNuIbsHlom+hwlsFnuPWNFCqSi8t37BypXQxAMc9k9TK2deOmrEABYZal8nJNvU6/
Go6Awjv0iKgYhbJNLUJGhW7uV2o+tbI0S8Zh6XpfdSWGVwNFP7wuEgs6vCuGZ1YaIE4qYNp3BicJ
njLrUz6PMnTwqrJOEebFvwWlQKRwP8C1kq61pIAsLUihUQ4yueyw8rGEkvCgw24GwVm77Tsd8cJP
BYVYEWO8QDz2Fr0gdRXYpOOybZvTtFYriqye173T0xSwjeUl1nEAD12AVN9voeCTtuqYBZvdR6eU
1icKeBR0ES0LbvRc9fqUNpIa9ie9r7i6KBc9Sz+Lp3m7iNohmzGJSIGkdDvwNCpgA0NHFI532VYJ
yNoq+hLUsfUWCl3lIz9AuIbx2gQY2rUY9LWeiHUMsnXsnTMScG9UOTWbarY7EK1qBAXcYyuuwkvZ
oKxR+ij9sFq7uKY4an1VljIaXhnEgnHJZlMaIflA8qgUoSVQXw6qmeuiDCKkRs1uMHYmridTImTX
519K2AWPA0TAjzH0cQ5TJXJxY644OAKPbmHCE9h6/W+DLR3U2Nr3z0LTtD4XFCa+JnadH8myoJRj
Cs5ok8A4FIZ9yjmW3UMHqTp9qFhJfQbiWL3q3Co4o/xmnwCHjTR47UF1A1m/yw8NVsnjzmmMmSZ6
eMWDVVLid4DBe5577HdXmVmI75zIlE6RzUmKoSAE3UxwTSYRldscWn9Tfo7L2qRmJvjtxFo0wMHl
zOCQBOUw/4QsPwBlReEZAT8lqIEuWF0+kTjwZtIaSvMV0VJMTiO/bK4bFPsAzHDiVQ7FTrS+qEXF
xGPeZcmwIUR2ow59pBtV8NBElGobkRqKF65EAKyNS6Ukt2VVS8rTUIDFyBjFbGcgVoYesLk2VcT5
ijhFsSeP2FtXWTiDS2N8FDkSByVQteGVJ+bRNV45kjSS1CbMR0bb4MFTeb5cDWEehLBj1AIiHpBV
+z0MpxxVkQSc+cCFhHZjuS7CfBiIU+ZQOim9UAw3+eKwf8KwAAo41Qu0rOedkjXXRmtln7S6iZiZ
qjunfEmIszl9jZFoVbMTX+yiacixbjTQ4hA5ajWCduDjE5WOLdiV176bl+JQjGXjQnV8fMFRzyli
Bh/QtpEjmoF0iJZJFQ8yHTriALKYkoyTVAKFHHnsEYZloqqz1pGLbmgkVjjrqIIwVwE2y8MFpHpW
c9OFE5llrsJUQithaqg6DrqVVcWnRqBJ4BGp7gujDr1mSP2yBK8htT1gO8KCzhn7iEqyw1mwlgu6
LzPndLk6r1OJXdGikCRmP7o1Hwwy9OtOTFJU9EQ02xtkpBBBZSNcctplYHYJTFE8QzdT+wy3vpcZ
zaVSB20iIShQc/yaw7OvXeBscSOYxdAka0v7ozMXYlfZz1kQ+iWa1VJpd+Najv1w1JS1J6KEUkY8
s+1hjBjQicXAi4DoD61FLiOiEeLyDTG0xWfIrhLXG3MUaZdHRQd1Fesu0pFTor8uP4EwkbfPJnt8
J273VMB7qyBT3j4K59DrH3WO23VEbHGwDgqdaoK17ZCDYhsVEIGDaFfW0muBE7D3QeR0TxzaPrwL
qiUc1UpIJhu9GN3m+XBqFrDXyiIYd3FqfwJMYrxXDeEpG5xtnINBwQxuNZ2vaxhUbMNu/Byuq9Rp
/hj2X3cl1lkFLyU03ppsMMfmQqt/EeazvF+PIgSlKKqKtn0OXVC3YZ/ljxMlo2iAPMcA0KH2xJDa
+VTgLflLIDHArTf7ruS8FwSQ6o+jQgRShqHykaqxbVWp0hwl4GFHjx+w9yP0/uk65/iQ4HQTWDcD
A1775v3apAs0Y6GYo7CPa42qvhdr1Icxl0cBAVpu5AZPWdRsTxpuiWAwT2cShtSlzvZ9+IDvyYFb
cq43imPPPoqFkPp2kaPCIUbRE0/38FaMQ3C3IssUdB99CxIBKbvV9abURjAeoqGaJhz7O9S6mip4
6sVtD3pY33DWgKrIsoL24vatCF56W/C4I8F2Kca5mamPslQiSXr8he26jwr6nuHIBEAYcvOFBa0S
OxZiXqNFrShHmsG2Im4M+QlczMNhoajge1A0UIArgV7dvEvSIvMXgTMacfCgXBDWDTZvghweLtAk
vSlRDKeuXjbiE6P/4cMpJv4wUMRlCX7AEq11D1niByaqvOhsQ2iNk0NqNNLbVEvcw1/tQiB0oMlR
ZABiZOlbXej5LDVGh1eBa2bVseapACPr7FfjxRLQ1odAlDE5Xu2VJO4Pc63BkTGwfHVUgdkhn4cq
FfhZ8wS0aDtecBfQh7pswPaAmSFvwaS8gtSpLBCy1bOu4cDElg5hBmCGozi4HIteev7LfQfRQYW3
gTWj3Mvdbz4V4lw1lU9lJAVSifC1VV0YcdPMH7/Lw+EH+aRHA6Jf2q+w/Ti5Nw66GDA4FU6FWq4u
n3maobwptTS/siNDOO8WnEC5psnm8PG7PowWPXKVUGEAoSbAb/WlVXaWg4iFQixErdpyqM7aKmzQ
qELBfHmr/0vzhvWPHk2KCauKV7QfynlPSMrLoMjvtEr6T5c0mKv4733p8YbWng9XnCD+67fJLOy1
0alqedPiPiVKgXZCJNpgRS1/1PIXP9ZGMOHByhmNo+KCpTDWh7198PL67RVuAc76Y8HQkckVoZkS
/5YXo4Ab3uukH3XD40+46s/Hv/PYE8yXr+btDBYSmyuMkYkEe3WEcQAmEelekKiriwfd6AjlQEba
V2RbvOqIVc+/uI7oV8C9OgKdZXCTyhLTuOyJ7Y7QsK+GU6Eo7Fv6i2j0skYEeF9z9aNWWPJvk/UX
5oV6AEcakSKwsKuL9WpjOGgHMtsO2IFQmF5kL6zmhcweb6/hIB+wWAOuhzS5vh50BKQ3ds13n7N4
vazhsO6IfUeEctBPfwIE/rTLi4xnY0Rgw95fLzdAyBBA9l0v1ANIlnjC9yjnjafvo4JISDCWvST2
/ogvchis1q99AoMO18mUehT26trqCCIHzDrgSusvMExeVkcA8WfJZ7e3b1xQZTjQlMtWFy98Y0Ag
yo/eGSyW9c5idcMXtF4S3vftBO1A1KmA8JxbD68RLHQ+gvO7vF7cw693TfvOhid3TX1HcL3coLhe
HfYfCeTpkMN0ouDy2t4vEBZ6ZU6oO6uoser5FzQd1iNi3/2ChhcH/uaQiH4QH+UDWExsszXoK/31
Ty0UP6808YOcaquB7znV8lVb8Nm2d84IY4qcQfbsvuW1yll+agz8xJe+JadD1wtmy7TUm+e7stcf
feEuHXv4+ToV6/MtZDU2vtcnqatbr3Ky/t+/b+Ssy2zx3od32ePyNus/Xz/fwztv3Ovuoe7+88ib
Z5Ns6rbLD9r1r3w/Cclsh5NgNsnv58urgP/9hzxIrb8tiI+1e+Hlk6xv+37T663Vvm1fgagKNxpe
5zL7NvxxEgS9LWTwajgpp5t3WFUR9r3DzxpPLvP2nYWNn+r995PMu/3vhr83vEtKv8StfR/hdOLM
JsE82ugeWqcGy/Kwb+vD27+yWfxlq3GpL70+Q+Pbb/XbJm/fn4300u2f1SS7+419CADX0zNd7/7r
77/N10Vw+wcjYrr1QtlYPkvz4aSLo80gsFrmnuOFnpfwuCbtxk9ft/4MXfNxUia3/9mIX+vGSbD3
falDaIzz4vaPu5a+19F6TZ99W39CWnrPCPCYVdieTfPDvej2z40puup0Wdq/Wz6UXjS7/XPHeOlr
dvt2+nACWW8SvNpVKF4/A9uRfe9yOi929Q7FgH1bHpbRzIsmIcv5rjs8QwD+6E3dyeayve6YZ5lR
+STaKafeM7T37ZzX2XZ8X/9yyjn7tj2I28l0Vyh4jiUVo6Dp7V93P/J7mOk5//v+8NfMdsC7m6Jv
q37pZTP2bX6ngfa6+WeI75fldJf4vvoMgWY4Z4d61wHf+1x9hmF+MnlFkPS9bMccXert7RmB6fRX
r6NZxsr3CvfyV+dZXHmzeTTd9ZZ7LY/H3/KurOLb4dXDXOPuUGrXn23mUf03psF8kv3+PwAAAP//
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188971</xdr:colOff>
      <xdr:row>11</xdr:row>
      <xdr:rowOff>7651</xdr:rowOff>
    </xdr:from>
    <xdr:to>
      <xdr:col>8</xdr:col>
      <xdr:colOff>413133</xdr:colOff>
      <xdr:row>21</xdr:row>
      <xdr:rowOff>27240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1A38395-8B3B-D1E5-7EA6-4A9D68B830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0055" y="2356386"/>
              <a:ext cx="3322656" cy="1932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673100</xdr:colOff>
      <xdr:row>2</xdr:row>
      <xdr:rowOff>0</xdr:rowOff>
    </xdr:from>
    <xdr:to>
      <xdr:col>8</xdr:col>
      <xdr:colOff>25400</xdr:colOff>
      <xdr:row>14</xdr:row>
      <xdr:rowOff>142869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DBD11B0E-7DFC-AED2-DD90-928BB4248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4200" y="381000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355600</xdr:colOff>
      <xdr:row>2</xdr:row>
      <xdr:rowOff>25400</xdr:rowOff>
    </xdr:from>
    <xdr:to>
      <xdr:col>10</xdr:col>
      <xdr:colOff>533400</xdr:colOff>
      <xdr:row>14</xdr:row>
      <xdr:rowOff>168269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orteos">
              <a:extLst>
                <a:ext uri="{FF2B5EF4-FFF2-40B4-BE49-F238E27FC236}">
                  <a16:creationId xmlns:a16="http://schemas.microsoft.com/office/drawing/2014/main" id="{3E66E7F5-5CA1-74B4-1103-7CBE87F0D5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rte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3200" y="406400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feroga" refreshedDate="46267.973534722223" createdVersion="8" refreshedVersion="8" minRefreshableVersion="3" recordCount="130" xr:uid="{F3876932-B84A-F040-A46A-EDD17587D9CF}">
  <cacheSource type="worksheet">
    <worksheetSource name="tbl_sorteos"/>
  </cacheSource>
  <cacheFields count="5">
    <cacheField name="Departamento" numFmtId="0">
      <sharedItems count="13">
        <s v="Antioquia"/>
        <s v="Bogotá, D.C."/>
        <s v="Boyacá"/>
        <s v="Caldas"/>
        <s v="Cauca"/>
        <s v="Cundinamarca"/>
        <s v="Huila"/>
        <s v="Meta"/>
        <s v="Quindío"/>
        <s v="Risaralda"/>
        <s v="Santander"/>
        <s v="Tolima"/>
        <s v="Valle del Cauca"/>
      </sharedItems>
    </cacheField>
    <cacheField name="Loteria" numFmtId="0">
      <sharedItems count="14">
        <s v="Loteria de Medellin"/>
        <s v="Loteria de Bogota"/>
        <s v="Loteria de la Cruz Roja"/>
        <s v="Loteria de Boyaca"/>
        <s v="Loteria de Manizales"/>
        <s v="Loteria del Cauca"/>
        <s v="Loteria de Cundinamarca"/>
        <s v="Loteria del Huila"/>
        <s v="Loteria del Meta"/>
        <s v="Loteria del Quindio"/>
        <s v="Loteria del Risaralda"/>
        <s v="Loteria Santander"/>
        <s v="Loteria del Tolima"/>
        <s v="Loteria del Valle"/>
      </sharedItems>
    </cacheField>
    <cacheField name="Anio" numFmtId="0">
      <sharedItems containsSemiMixedTypes="0" containsString="0" containsNumber="1" containsInteger="1" minValue="2020" maxValue="2023"/>
    </cacheField>
    <cacheField name="TipoPremio" numFmtId="0">
      <sharedItems count="3">
        <s v="Mayor"/>
        <s v="Secos"/>
        <s v="Otros"/>
      </sharedItems>
    </cacheField>
    <cacheField name="Sorteos" numFmtId="0">
      <sharedItems containsSemiMixedTypes="0" containsString="0" containsNumber="1" containsInteger="1" minValue="5" maxValue="3244" count="78">
        <n v="46"/>
        <n v="1568"/>
        <n v="55"/>
        <n v="1870"/>
        <n v="53"/>
        <n v="1861"/>
        <n v="37"/>
        <n v="1339"/>
        <n v="47"/>
        <n v="45"/>
        <n v="2141"/>
        <n v="2450"/>
        <n v="54"/>
        <n v="150"/>
        <n v="2645"/>
        <n v="3133"/>
        <n v="31"/>
        <n v="2813"/>
        <n v="3244"/>
        <n v="140"/>
        <n v="1952"/>
        <n v="2106"/>
        <n v="1888"/>
        <n v="2452"/>
        <n v="2888"/>
        <n v="1914"/>
        <n v="1786"/>
        <n v="1266"/>
        <n v="5"/>
        <n v="1507"/>
        <n v="12"/>
        <n v="1098"/>
        <n v="1350"/>
        <n v="1989"/>
        <n v="1325"/>
        <n v="2385"/>
        <n v="52"/>
        <n v="2528"/>
        <n v="2444"/>
        <n v="1760"/>
        <n v="1845"/>
        <n v="2039"/>
        <n v="1976"/>
        <n v="38"/>
        <n v="1296"/>
        <n v="1932"/>
        <n v="2184"/>
        <n v="1554"/>
        <n v="92"/>
        <n v="1610"/>
        <n v="51"/>
        <n v="137"/>
        <n v="1750"/>
        <n v="153"/>
        <n v="1903"/>
        <n v="36"/>
        <n v="85"/>
        <n v="1155"/>
        <n v="1859"/>
        <n v="201"/>
        <n v="1971"/>
        <n v="260"/>
        <n v="1196"/>
        <n v="185"/>
        <n v="851"/>
        <n v="80"/>
        <n v="1414"/>
        <n v="2524"/>
        <n v="2435"/>
        <n v="1601"/>
        <n v="990"/>
        <n v="1120"/>
        <n v="1040"/>
        <n v="1006"/>
        <n v="1992"/>
        <n v="2026"/>
        <n v="1872"/>
        <n v="1242"/>
      </sharedItems>
    </cacheField>
  </cacheFields>
  <extLst>
    <ext xmlns:x14="http://schemas.microsoft.com/office/spreadsheetml/2009/9/main" uri="{725AE2AE-9491-48be-B2B4-4EB974FC3084}">
      <x14:pivotCacheDefinition pivotCacheId="1536832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n v="2020"/>
    <x v="0"/>
    <x v="0"/>
  </r>
  <r>
    <x v="0"/>
    <x v="0"/>
    <n v="2020"/>
    <x v="1"/>
    <x v="1"/>
  </r>
  <r>
    <x v="0"/>
    <x v="0"/>
    <n v="2021"/>
    <x v="0"/>
    <x v="2"/>
  </r>
  <r>
    <x v="0"/>
    <x v="0"/>
    <n v="2021"/>
    <x v="1"/>
    <x v="3"/>
  </r>
  <r>
    <x v="0"/>
    <x v="0"/>
    <n v="2022"/>
    <x v="0"/>
    <x v="4"/>
  </r>
  <r>
    <x v="0"/>
    <x v="0"/>
    <n v="2022"/>
    <x v="1"/>
    <x v="5"/>
  </r>
  <r>
    <x v="0"/>
    <x v="0"/>
    <n v="2023"/>
    <x v="0"/>
    <x v="6"/>
  </r>
  <r>
    <x v="0"/>
    <x v="0"/>
    <n v="2023"/>
    <x v="1"/>
    <x v="7"/>
  </r>
  <r>
    <x v="1"/>
    <x v="1"/>
    <n v="2020"/>
    <x v="0"/>
    <x v="8"/>
  </r>
  <r>
    <x v="1"/>
    <x v="2"/>
    <n v="2020"/>
    <x v="0"/>
    <x v="9"/>
  </r>
  <r>
    <x v="1"/>
    <x v="1"/>
    <n v="2020"/>
    <x v="1"/>
    <x v="10"/>
  </r>
  <r>
    <x v="1"/>
    <x v="2"/>
    <n v="2020"/>
    <x v="1"/>
    <x v="11"/>
  </r>
  <r>
    <x v="1"/>
    <x v="1"/>
    <n v="2021"/>
    <x v="0"/>
    <x v="4"/>
  </r>
  <r>
    <x v="1"/>
    <x v="2"/>
    <n v="2021"/>
    <x v="0"/>
    <x v="12"/>
  </r>
  <r>
    <x v="1"/>
    <x v="2"/>
    <n v="2021"/>
    <x v="2"/>
    <x v="13"/>
  </r>
  <r>
    <x v="1"/>
    <x v="1"/>
    <n v="2021"/>
    <x v="1"/>
    <x v="14"/>
  </r>
  <r>
    <x v="1"/>
    <x v="2"/>
    <n v="2021"/>
    <x v="1"/>
    <x v="15"/>
  </r>
  <r>
    <x v="1"/>
    <x v="1"/>
    <n v="2022"/>
    <x v="0"/>
    <x v="4"/>
  </r>
  <r>
    <x v="1"/>
    <x v="2"/>
    <n v="2022"/>
    <x v="0"/>
    <x v="4"/>
  </r>
  <r>
    <x v="1"/>
    <x v="2"/>
    <n v="2022"/>
    <x v="2"/>
    <x v="16"/>
  </r>
  <r>
    <x v="1"/>
    <x v="1"/>
    <n v="2022"/>
    <x v="1"/>
    <x v="17"/>
  </r>
  <r>
    <x v="1"/>
    <x v="2"/>
    <n v="2022"/>
    <x v="1"/>
    <x v="18"/>
  </r>
  <r>
    <x v="1"/>
    <x v="1"/>
    <n v="2023"/>
    <x v="0"/>
    <x v="6"/>
  </r>
  <r>
    <x v="1"/>
    <x v="2"/>
    <n v="2023"/>
    <x v="0"/>
    <x v="6"/>
  </r>
  <r>
    <x v="1"/>
    <x v="2"/>
    <n v="2023"/>
    <x v="2"/>
    <x v="19"/>
  </r>
  <r>
    <x v="1"/>
    <x v="1"/>
    <n v="2023"/>
    <x v="1"/>
    <x v="20"/>
  </r>
  <r>
    <x v="1"/>
    <x v="2"/>
    <n v="2023"/>
    <x v="1"/>
    <x v="21"/>
  </r>
  <r>
    <x v="2"/>
    <x v="3"/>
    <n v="2020"/>
    <x v="0"/>
    <x v="0"/>
  </r>
  <r>
    <x v="2"/>
    <x v="3"/>
    <n v="2020"/>
    <x v="1"/>
    <x v="22"/>
  </r>
  <r>
    <x v="2"/>
    <x v="3"/>
    <n v="2021"/>
    <x v="0"/>
    <x v="12"/>
  </r>
  <r>
    <x v="2"/>
    <x v="3"/>
    <n v="2021"/>
    <x v="1"/>
    <x v="23"/>
  </r>
  <r>
    <x v="2"/>
    <x v="3"/>
    <n v="2022"/>
    <x v="0"/>
    <x v="12"/>
  </r>
  <r>
    <x v="2"/>
    <x v="3"/>
    <n v="2022"/>
    <x v="1"/>
    <x v="24"/>
  </r>
  <r>
    <x v="2"/>
    <x v="3"/>
    <n v="2023"/>
    <x v="0"/>
    <x v="6"/>
  </r>
  <r>
    <x v="2"/>
    <x v="3"/>
    <n v="2023"/>
    <x v="1"/>
    <x v="25"/>
  </r>
  <r>
    <x v="3"/>
    <x v="4"/>
    <n v="2020"/>
    <x v="0"/>
    <x v="0"/>
  </r>
  <r>
    <x v="3"/>
    <x v="4"/>
    <n v="2020"/>
    <x v="1"/>
    <x v="26"/>
  </r>
  <r>
    <x v="3"/>
    <x v="4"/>
    <n v="2021"/>
    <x v="0"/>
    <x v="4"/>
  </r>
  <r>
    <x v="3"/>
    <x v="4"/>
    <n v="2021"/>
    <x v="1"/>
    <x v="27"/>
  </r>
  <r>
    <x v="3"/>
    <x v="4"/>
    <n v="2022"/>
    <x v="0"/>
    <x v="4"/>
  </r>
  <r>
    <x v="3"/>
    <x v="4"/>
    <n v="2022"/>
    <x v="2"/>
    <x v="28"/>
  </r>
  <r>
    <x v="3"/>
    <x v="4"/>
    <n v="2022"/>
    <x v="1"/>
    <x v="29"/>
  </r>
  <r>
    <x v="3"/>
    <x v="4"/>
    <n v="2023"/>
    <x v="0"/>
    <x v="6"/>
  </r>
  <r>
    <x v="3"/>
    <x v="4"/>
    <n v="2023"/>
    <x v="2"/>
    <x v="30"/>
  </r>
  <r>
    <x v="3"/>
    <x v="4"/>
    <n v="2023"/>
    <x v="1"/>
    <x v="31"/>
  </r>
  <r>
    <x v="4"/>
    <x v="5"/>
    <n v="2020"/>
    <x v="0"/>
    <x v="9"/>
  </r>
  <r>
    <x v="4"/>
    <x v="5"/>
    <n v="2020"/>
    <x v="1"/>
    <x v="32"/>
  </r>
  <r>
    <x v="4"/>
    <x v="5"/>
    <n v="2021"/>
    <x v="0"/>
    <x v="4"/>
  </r>
  <r>
    <x v="4"/>
    <x v="5"/>
    <n v="2021"/>
    <x v="1"/>
    <x v="26"/>
  </r>
  <r>
    <x v="4"/>
    <x v="5"/>
    <n v="2022"/>
    <x v="0"/>
    <x v="12"/>
  </r>
  <r>
    <x v="4"/>
    <x v="5"/>
    <n v="2022"/>
    <x v="1"/>
    <x v="33"/>
  </r>
  <r>
    <x v="4"/>
    <x v="5"/>
    <n v="2023"/>
    <x v="0"/>
    <x v="6"/>
  </r>
  <r>
    <x v="4"/>
    <x v="5"/>
    <n v="2023"/>
    <x v="1"/>
    <x v="34"/>
  </r>
  <r>
    <x v="5"/>
    <x v="6"/>
    <n v="2020"/>
    <x v="0"/>
    <x v="9"/>
  </r>
  <r>
    <x v="5"/>
    <x v="6"/>
    <n v="2020"/>
    <x v="1"/>
    <x v="35"/>
  </r>
  <r>
    <x v="5"/>
    <x v="6"/>
    <n v="2021"/>
    <x v="0"/>
    <x v="36"/>
  </r>
  <r>
    <x v="5"/>
    <x v="6"/>
    <n v="2021"/>
    <x v="1"/>
    <x v="37"/>
  </r>
  <r>
    <x v="5"/>
    <x v="6"/>
    <n v="2022"/>
    <x v="0"/>
    <x v="36"/>
  </r>
  <r>
    <x v="5"/>
    <x v="6"/>
    <n v="2022"/>
    <x v="1"/>
    <x v="38"/>
  </r>
  <r>
    <x v="5"/>
    <x v="6"/>
    <n v="2023"/>
    <x v="0"/>
    <x v="6"/>
  </r>
  <r>
    <x v="5"/>
    <x v="6"/>
    <n v="2023"/>
    <x v="1"/>
    <x v="39"/>
  </r>
  <r>
    <x v="6"/>
    <x v="7"/>
    <n v="2020"/>
    <x v="0"/>
    <x v="9"/>
  </r>
  <r>
    <x v="6"/>
    <x v="7"/>
    <n v="2020"/>
    <x v="2"/>
    <x v="0"/>
  </r>
  <r>
    <x v="6"/>
    <x v="7"/>
    <n v="2020"/>
    <x v="1"/>
    <x v="40"/>
  </r>
  <r>
    <x v="6"/>
    <x v="7"/>
    <n v="2021"/>
    <x v="0"/>
    <x v="36"/>
  </r>
  <r>
    <x v="6"/>
    <x v="7"/>
    <n v="2021"/>
    <x v="2"/>
    <x v="36"/>
  </r>
  <r>
    <x v="6"/>
    <x v="7"/>
    <n v="2021"/>
    <x v="1"/>
    <x v="41"/>
  </r>
  <r>
    <x v="6"/>
    <x v="7"/>
    <n v="2022"/>
    <x v="0"/>
    <x v="36"/>
  </r>
  <r>
    <x v="6"/>
    <x v="7"/>
    <n v="2022"/>
    <x v="2"/>
    <x v="4"/>
  </r>
  <r>
    <x v="6"/>
    <x v="7"/>
    <n v="2022"/>
    <x v="1"/>
    <x v="42"/>
  </r>
  <r>
    <x v="6"/>
    <x v="7"/>
    <n v="2023"/>
    <x v="0"/>
    <x v="6"/>
  </r>
  <r>
    <x v="6"/>
    <x v="7"/>
    <n v="2023"/>
    <x v="2"/>
    <x v="43"/>
  </r>
  <r>
    <x v="6"/>
    <x v="7"/>
    <n v="2023"/>
    <x v="1"/>
    <x v="44"/>
  </r>
  <r>
    <x v="7"/>
    <x v="8"/>
    <n v="2020"/>
    <x v="0"/>
    <x v="0"/>
  </r>
  <r>
    <x v="7"/>
    <x v="8"/>
    <n v="2020"/>
    <x v="1"/>
    <x v="45"/>
  </r>
  <r>
    <x v="7"/>
    <x v="8"/>
    <n v="2021"/>
    <x v="0"/>
    <x v="36"/>
  </r>
  <r>
    <x v="7"/>
    <x v="8"/>
    <n v="2021"/>
    <x v="1"/>
    <x v="46"/>
  </r>
  <r>
    <x v="7"/>
    <x v="8"/>
    <n v="2022"/>
    <x v="0"/>
    <x v="36"/>
  </r>
  <r>
    <x v="7"/>
    <x v="8"/>
    <n v="2022"/>
    <x v="1"/>
    <x v="46"/>
  </r>
  <r>
    <x v="7"/>
    <x v="8"/>
    <n v="2023"/>
    <x v="0"/>
    <x v="6"/>
  </r>
  <r>
    <x v="7"/>
    <x v="8"/>
    <n v="2023"/>
    <x v="1"/>
    <x v="47"/>
  </r>
  <r>
    <x v="8"/>
    <x v="9"/>
    <n v="2020"/>
    <x v="0"/>
    <x v="0"/>
  </r>
  <r>
    <x v="8"/>
    <x v="9"/>
    <n v="2020"/>
    <x v="2"/>
    <x v="48"/>
  </r>
  <r>
    <x v="8"/>
    <x v="9"/>
    <n v="2020"/>
    <x v="1"/>
    <x v="49"/>
  </r>
  <r>
    <x v="8"/>
    <x v="9"/>
    <n v="2021"/>
    <x v="0"/>
    <x v="50"/>
  </r>
  <r>
    <x v="8"/>
    <x v="9"/>
    <n v="2021"/>
    <x v="2"/>
    <x v="51"/>
  </r>
  <r>
    <x v="8"/>
    <x v="9"/>
    <n v="2021"/>
    <x v="1"/>
    <x v="52"/>
  </r>
  <r>
    <x v="8"/>
    <x v="9"/>
    <n v="2022"/>
    <x v="0"/>
    <x v="50"/>
  </r>
  <r>
    <x v="8"/>
    <x v="9"/>
    <n v="2022"/>
    <x v="2"/>
    <x v="53"/>
  </r>
  <r>
    <x v="8"/>
    <x v="9"/>
    <n v="2022"/>
    <x v="1"/>
    <x v="54"/>
  </r>
  <r>
    <x v="8"/>
    <x v="9"/>
    <n v="2023"/>
    <x v="0"/>
    <x v="55"/>
  </r>
  <r>
    <x v="8"/>
    <x v="9"/>
    <n v="2023"/>
    <x v="2"/>
    <x v="56"/>
  </r>
  <r>
    <x v="8"/>
    <x v="9"/>
    <n v="2023"/>
    <x v="1"/>
    <x v="57"/>
  </r>
  <r>
    <x v="9"/>
    <x v="10"/>
    <n v="2020"/>
    <x v="0"/>
    <x v="9"/>
  </r>
  <r>
    <x v="9"/>
    <x v="10"/>
    <n v="2020"/>
    <x v="2"/>
    <x v="9"/>
  </r>
  <r>
    <x v="9"/>
    <x v="10"/>
    <n v="2020"/>
    <x v="1"/>
    <x v="58"/>
  </r>
  <r>
    <x v="9"/>
    <x v="10"/>
    <n v="2021"/>
    <x v="0"/>
    <x v="4"/>
  </r>
  <r>
    <x v="9"/>
    <x v="10"/>
    <n v="2021"/>
    <x v="2"/>
    <x v="59"/>
  </r>
  <r>
    <x v="9"/>
    <x v="10"/>
    <n v="2021"/>
    <x v="1"/>
    <x v="60"/>
  </r>
  <r>
    <x v="9"/>
    <x v="10"/>
    <n v="2022"/>
    <x v="0"/>
    <x v="36"/>
  </r>
  <r>
    <x v="9"/>
    <x v="10"/>
    <n v="2022"/>
    <x v="2"/>
    <x v="61"/>
  </r>
  <r>
    <x v="9"/>
    <x v="10"/>
    <n v="2022"/>
    <x v="1"/>
    <x v="62"/>
  </r>
  <r>
    <x v="9"/>
    <x v="10"/>
    <n v="2023"/>
    <x v="0"/>
    <x v="6"/>
  </r>
  <r>
    <x v="9"/>
    <x v="10"/>
    <n v="2023"/>
    <x v="2"/>
    <x v="63"/>
  </r>
  <r>
    <x v="9"/>
    <x v="10"/>
    <n v="2023"/>
    <x v="1"/>
    <x v="64"/>
  </r>
  <r>
    <x v="10"/>
    <x v="11"/>
    <n v="2020"/>
    <x v="0"/>
    <x v="0"/>
  </r>
  <r>
    <x v="10"/>
    <x v="11"/>
    <n v="2020"/>
    <x v="2"/>
    <x v="65"/>
  </r>
  <r>
    <x v="10"/>
    <x v="11"/>
    <n v="2020"/>
    <x v="1"/>
    <x v="66"/>
  </r>
  <r>
    <x v="10"/>
    <x v="11"/>
    <n v="2021"/>
    <x v="0"/>
    <x v="4"/>
  </r>
  <r>
    <x v="10"/>
    <x v="11"/>
    <n v="2021"/>
    <x v="1"/>
    <x v="67"/>
  </r>
  <r>
    <x v="10"/>
    <x v="11"/>
    <n v="2022"/>
    <x v="0"/>
    <x v="4"/>
  </r>
  <r>
    <x v="10"/>
    <x v="11"/>
    <n v="2022"/>
    <x v="1"/>
    <x v="68"/>
  </r>
  <r>
    <x v="10"/>
    <x v="11"/>
    <n v="2023"/>
    <x v="0"/>
    <x v="6"/>
  </r>
  <r>
    <x v="10"/>
    <x v="11"/>
    <n v="2023"/>
    <x v="1"/>
    <x v="69"/>
  </r>
  <r>
    <x v="11"/>
    <x v="12"/>
    <n v="2020"/>
    <x v="0"/>
    <x v="9"/>
  </r>
  <r>
    <x v="11"/>
    <x v="12"/>
    <n v="2020"/>
    <x v="1"/>
    <x v="70"/>
  </r>
  <r>
    <x v="11"/>
    <x v="12"/>
    <n v="2021"/>
    <x v="0"/>
    <x v="4"/>
  </r>
  <r>
    <x v="11"/>
    <x v="12"/>
    <n v="2021"/>
    <x v="1"/>
    <x v="71"/>
  </r>
  <r>
    <x v="11"/>
    <x v="12"/>
    <n v="2022"/>
    <x v="0"/>
    <x v="36"/>
  </r>
  <r>
    <x v="11"/>
    <x v="12"/>
    <n v="2022"/>
    <x v="1"/>
    <x v="72"/>
  </r>
  <r>
    <x v="11"/>
    <x v="12"/>
    <n v="2023"/>
    <x v="0"/>
    <x v="6"/>
  </r>
  <r>
    <x v="11"/>
    <x v="12"/>
    <n v="2023"/>
    <x v="1"/>
    <x v="73"/>
  </r>
  <r>
    <x v="12"/>
    <x v="13"/>
    <n v="2020"/>
    <x v="0"/>
    <x v="0"/>
  </r>
  <r>
    <x v="12"/>
    <x v="13"/>
    <n v="2020"/>
    <x v="1"/>
    <x v="74"/>
  </r>
  <r>
    <x v="12"/>
    <x v="13"/>
    <n v="2021"/>
    <x v="0"/>
    <x v="36"/>
  </r>
  <r>
    <x v="12"/>
    <x v="13"/>
    <n v="2021"/>
    <x v="1"/>
    <x v="75"/>
  </r>
  <r>
    <x v="12"/>
    <x v="13"/>
    <n v="2022"/>
    <x v="0"/>
    <x v="36"/>
  </r>
  <r>
    <x v="12"/>
    <x v="13"/>
    <n v="2022"/>
    <x v="1"/>
    <x v="76"/>
  </r>
  <r>
    <x v="12"/>
    <x v="13"/>
    <n v="2023"/>
    <x v="0"/>
    <x v="6"/>
  </r>
  <r>
    <x v="12"/>
    <x v="13"/>
    <n v="2023"/>
    <x v="1"/>
    <x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57517-C5C6-374E-86B1-C52DDD127302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7" firstHeaderRow="0" firstDataRow="1" firstDataCol="1"/>
  <pivotFields count="5">
    <pivotField axis="axisRow" showAll="0">
      <items count="14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axis="axisRow" showAll="0">
      <items count="15">
        <item x="1"/>
        <item x="3"/>
        <item x="6"/>
        <item x="2"/>
        <item x="4"/>
        <item x="0"/>
        <item x="5"/>
        <item x="7"/>
        <item x="8"/>
        <item x="9"/>
        <item x="10"/>
        <item x="12"/>
        <item x="13"/>
        <item x="11"/>
        <item t="default"/>
      </items>
    </pivotField>
    <pivotField dataField="1" showAll="0"/>
    <pivotField axis="axisRow" showAll="0">
      <items count="4">
        <item x="0"/>
        <item x="2"/>
        <item x="1"/>
        <item t="default"/>
      </items>
    </pivotField>
    <pivotField dataField="1" showAll="0">
      <items count="79">
        <item h="1" x="28"/>
        <item h="1" x="30"/>
        <item h="1" x="16"/>
        <item h="1" x="55"/>
        <item h="1" x="6"/>
        <item h="1" x="43"/>
        <item h="1" x="9"/>
        <item h="1" x="0"/>
        <item x="8"/>
        <item h="1" x="50"/>
        <item h="1" x="36"/>
        <item h="1" x="4"/>
        <item h="1" x="12"/>
        <item h="1" x="2"/>
        <item h="1" x="65"/>
        <item h="1" x="56"/>
        <item h="1" x="48"/>
        <item h="1" x="51"/>
        <item h="1" x="19"/>
        <item h="1" x="13"/>
        <item h="1" x="53"/>
        <item h="1" x="63"/>
        <item h="1" x="59"/>
        <item h="1" x="61"/>
        <item h="1" x="64"/>
        <item h="1" x="70"/>
        <item h="1" x="73"/>
        <item h="1" x="72"/>
        <item h="1" x="31"/>
        <item h="1" x="71"/>
        <item h="1" x="57"/>
        <item h="1" x="62"/>
        <item h="1" x="77"/>
        <item h="1" x="27"/>
        <item h="1" x="44"/>
        <item h="1" x="34"/>
        <item h="1" x="7"/>
        <item h="1" x="32"/>
        <item h="1" x="66"/>
        <item h="1" x="29"/>
        <item h="1" x="47"/>
        <item h="1" x="1"/>
        <item h="1" x="69"/>
        <item h="1" x="49"/>
        <item h="1" x="52"/>
        <item h="1" x="39"/>
        <item h="1" x="26"/>
        <item h="1" x="40"/>
        <item h="1" x="58"/>
        <item h="1" x="5"/>
        <item h="1" x="3"/>
        <item h="1" x="76"/>
        <item h="1" x="22"/>
        <item h="1" x="54"/>
        <item h="1" x="25"/>
        <item h="1" x="45"/>
        <item h="1" x="20"/>
        <item h="1" x="60"/>
        <item h="1" x="42"/>
        <item h="1" x="33"/>
        <item h="1" x="74"/>
        <item h="1" x="75"/>
        <item h="1" x="41"/>
        <item h="1" x="21"/>
        <item h="1" x="10"/>
        <item h="1" x="46"/>
        <item h="1" x="35"/>
        <item h="1" x="68"/>
        <item h="1" x="38"/>
        <item h="1" x="11"/>
        <item h="1" x="23"/>
        <item h="1" x="67"/>
        <item h="1" x="37"/>
        <item h="1" x="14"/>
        <item h="1" x="17"/>
        <item h="1" x="24"/>
        <item h="1" x="15"/>
        <item h="1" x="18"/>
        <item t="default"/>
      </items>
    </pivotField>
  </pivotFields>
  <rowFields count="3">
    <field x="3"/>
    <field x="1"/>
    <field x="0"/>
  </rowFields>
  <rowItems count="4">
    <i>
      <x/>
    </i>
    <i r="1">
      <x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orteos" fld="4" baseField="0" baseItem="0"/>
    <dataField name="Suma de Anio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EA65D11A-5F90-4048-9FDA-1CCEEA7BA247}" sourceName="Departamento">
  <pivotTables>
    <pivotTable tabId="4" name="TablaDinámica1"/>
  </pivotTables>
  <data>
    <tabular pivotCacheId="1536832948">
      <items count="13">
        <i x="1" s="1"/>
        <i x="0" nd="1"/>
        <i x="2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orteos" xr10:uid="{7C9F1A6E-9025-8347-88FA-7785A6A76449}" sourceName="Sorteos">
  <pivotTables>
    <pivotTable tabId="4" name="TablaDinámica1"/>
  </pivotTables>
  <data>
    <tabular pivotCacheId="1536832948">
      <items count="78">
        <i x="16"/>
        <i x="6"/>
        <i x="9"/>
        <i x="8" s="1"/>
        <i x="4"/>
        <i x="12"/>
        <i x="19"/>
        <i x="13"/>
        <i x="20"/>
        <i x="21"/>
        <i x="10"/>
        <i x="11"/>
        <i x="14"/>
        <i x="17"/>
        <i x="15"/>
        <i x="18"/>
        <i x="28" nd="1"/>
        <i x="30" nd="1"/>
        <i x="55" nd="1"/>
        <i x="43" nd="1"/>
        <i x="0" nd="1"/>
        <i x="50" nd="1"/>
        <i x="36" nd="1"/>
        <i x="2" nd="1"/>
        <i x="65" nd="1"/>
        <i x="56" nd="1"/>
        <i x="48" nd="1"/>
        <i x="51" nd="1"/>
        <i x="53" nd="1"/>
        <i x="63" nd="1"/>
        <i x="59" nd="1"/>
        <i x="61" nd="1"/>
        <i x="64" nd="1"/>
        <i x="70" nd="1"/>
        <i x="73" nd="1"/>
        <i x="72" nd="1"/>
        <i x="31" nd="1"/>
        <i x="71" nd="1"/>
        <i x="57" nd="1"/>
        <i x="62" nd="1"/>
        <i x="77" nd="1"/>
        <i x="27" nd="1"/>
        <i x="44" nd="1"/>
        <i x="34" nd="1"/>
        <i x="7" nd="1"/>
        <i x="32" nd="1"/>
        <i x="66" nd="1"/>
        <i x="29" nd="1"/>
        <i x="47" nd="1"/>
        <i x="1" nd="1"/>
        <i x="69" nd="1"/>
        <i x="49" nd="1"/>
        <i x="52" nd="1"/>
        <i x="39" nd="1"/>
        <i x="26" nd="1"/>
        <i x="40" nd="1"/>
        <i x="58" nd="1"/>
        <i x="5" nd="1"/>
        <i x="3" nd="1"/>
        <i x="76" nd="1"/>
        <i x="22" nd="1"/>
        <i x="54" nd="1"/>
        <i x="25" nd="1"/>
        <i x="45" nd="1"/>
        <i x="60" nd="1"/>
        <i x="42" nd="1"/>
        <i x="33" nd="1"/>
        <i x="74" nd="1"/>
        <i x="75" nd="1"/>
        <i x="41" nd="1"/>
        <i x="46" nd="1"/>
        <i x="35" nd="1"/>
        <i x="68" nd="1"/>
        <i x="38" nd="1"/>
        <i x="23" nd="1"/>
        <i x="67" nd="1"/>
        <i x="37" nd="1"/>
        <i x="2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C6F9C444-F5CF-FC4D-989B-C7E92D4DD2A2}" cache="SegmentaciónDeDatos_Departamento" caption="Departamento" rowHeight="230716"/>
  <slicer name="Sorteos" xr10:uid="{54DA1BE5-ED18-294D-BE22-FEE043478EBB}" cache="SegmentaciónDeDatos_Sorteos" caption="Sorteos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_sorteos" displayName="tbl_sorteos" ref="A1:E131" totalsRowShown="0">
  <autoFilter ref="A1:E131" xr:uid="{00000000-0009-0000-0100-000002000000}"/>
  <tableColumns count="5">
    <tableColumn id="1" xr3:uid="{00000000-0010-0000-0000-000001000000}" name="Departamento"/>
    <tableColumn id="2" xr3:uid="{00000000-0010-0000-0000-000002000000}" name="Loteria"/>
    <tableColumn id="3" xr3:uid="{00000000-0010-0000-0000-000003000000}" name="Anio"/>
    <tableColumn id="4" xr3:uid="{00000000-0010-0000-0000-000004000000}" name="TipoPremio"/>
    <tableColumn id="5" xr3:uid="{00000000-0010-0000-0000-000005000000}" name="Sorteo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nacional" displayName="tbl_nacional" ref="A1:D12" totalsRowShown="0">
  <autoFilter ref="A1:D12" xr:uid="{00000000-0009-0000-0100-000001000000}"/>
  <tableColumns count="4">
    <tableColumn id="1" xr3:uid="{00000000-0010-0000-0100-000001000000}" name="Loteria"/>
    <tableColumn id="2" xr3:uid="{00000000-0010-0000-0100-000002000000}" name="Anio"/>
    <tableColumn id="3" xr3:uid="{00000000-0010-0000-0100-000003000000}" name="TipoPremio"/>
    <tableColumn id="4" xr3:uid="{00000000-0010-0000-0100-000004000000}" name="Sorte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29"/>
  <sheetViews>
    <sheetView showGridLines="0" tabSelected="1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D26" sqref="D26"/>
    </sheetView>
  </sheetViews>
  <sheetFormatPr baseColWidth="10" defaultColWidth="8.6640625" defaultRowHeight="15" x14ac:dyDescent="0.2"/>
  <cols>
    <col min="1" max="1" width="2" customWidth="1"/>
    <col min="2" max="2" width="20" customWidth="1"/>
    <col min="3" max="3" width="12" customWidth="1"/>
    <col min="4" max="4" width="18" customWidth="1"/>
    <col min="5" max="5" width="12" customWidth="1"/>
    <col min="6" max="6" width="20" customWidth="1"/>
    <col min="7" max="7" width="12" customWidth="1"/>
  </cols>
  <sheetData>
    <row r="2" spans="2:7" ht="25" x14ac:dyDescent="0.25">
      <c r="B2" s="4" t="s">
        <v>0</v>
      </c>
    </row>
    <row r="3" spans="2:7" x14ac:dyDescent="0.2">
      <c r="B3" s="5" t="s">
        <v>1</v>
      </c>
    </row>
    <row r="5" spans="2:7" ht="16" x14ac:dyDescent="0.2">
      <c r="B5" s="6" t="s">
        <v>2</v>
      </c>
      <c r="C5" s="7">
        <v>2022</v>
      </c>
      <c r="D5" s="3" t="s">
        <v>3</v>
      </c>
      <c r="E5" s="3"/>
      <c r="F5" s="7" t="s">
        <v>28</v>
      </c>
    </row>
    <row r="7" spans="2:7" x14ac:dyDescent="0.2">
      <c r="B7" s="2" t="s">
        <v>4</v>
      </c>
      <c r="C7" s="2"/>
      <c r="D7" s="2" t="s">
        <v>5</v>
      </c>
      <c r="E7" s="2"/>
      <c r="F7" s="2" t="s">
        <v>6</v>
      </c>
      <c r="G7" s="2"/>
    </row>
    <row r="8" spans="2:7" ht="23" x14ac:dyDescent="0.25">
      <c r="B8" s="8">
        <f>SUM(C13:C25)</f>
        <v>736</v>
      </c>
      <c r="D8" s="9" t="str">
        <f>COUNTIF(C13:C25,"&gt;0")&amp;" / 13"</f>
        <v>13 / 13</v>
      </c>
      <c r="F8" s="10">
        <f>IF(AND($C$5="Todos",$F$5="Todos"),SUM(Datos_Nacionales!D:D),IF($C$5="Todos",SUMIFS(Datos_Nacionales!D:D,Datos_Nacionales!C:C,$F$5),IF($F$5="Todos",SUMIFS(Datos_Nacionales!D:D,Datos_Nacionales!B:B,$C$5),SUMIFS(Datos_Nacionales!D:D,Datos_Nacionales!B:B,$C$5,Datos_Nacionales!C:C,$F$5))))</f>
        <v>11</v>
      </c>
    </row>
    <row r="12" spans="2:7" x14ac:dyDescent="0.2">
      <c r="B12" s="11" t="s">
        <v>7</v>
      </c>
      <c r="C12" s="12" t="s">
        <v>8</v>
      </c>
      <c r="D12" s="12" t="s">
        <v>9</v>
      </c>
      <c r="E12" s="12" t="s">
        <v>10</v>
      </c>
    </row>
    <row r="13" spans="2:7" x14ac:dyDescent="0.2">
      <c r="B13" s="13" t="s">
        <v>11</v>
      </c>
      <c r="C13" s="14">
        <f>IF(AND($C$5="Todos",$F$5="Todos"),SUMIFS(Datos!$E:$E,Datos!$A:$A,$B13),IF($C$5="Todos",SUMIFS(Datos!$E:$E,Datos!$A:$A,$B13,Datos!$D:$D,$F$5),IF($F$5="Todos",SUMIFS(Datos!$E:$E,Datos!$A:$A,$B13,Datos!$C:$C,$C$5),SUMIFS(Datos!$E:$E,Datos!$A:$A,$B13,Datos!$C:$C,$C$5,Datos!$D:$D,$F$5))))</f>
        <v>53</v>
      </c>
      <c r="D13" s="15">
        <f t="shared" ref="D13:D25" si="0">IFERROR(C13/SUM($C$13:$C$25),0)</f>
        <v>7.2010869565217392E-2</v>
      </c>
      <c r="E13" s="16">
        <f t="shared" ref="E13:E25" si="1">RANK(C13,$C$13:$C$25,0)</f>
        <v>4</v>
      </c>
    </row>
    <row r="14" spans="2:7" x14ac:dyDescent="0.2">
      <c r="B14" s="13" t="s">
        <v>12</v>
      </c>
      <c r="C14" s="14">
        <f>IF(AND($C$5="Todos",$F$5="Todos"),SUMIFS(Datos!$E:$E,Datos!$A:$A,$B14),IF($C$5="Todos",SUMIFS(Datos!$E:$E,Datos!$A:$A,$B14,Datos!$D:$D,$F$5),IF($F$5="Todos",SUMIFS(Datos!$E:$E,Datos!$A:$A,$B14,Datos!$C:$C,$C$5),SUMIFS(Datos!$E:$E,Datos!$A:$A,$B14,Datos!$C:$C,$C$5,Datos!$D:$D,$F$5))))</f>
        <v>106</v>
      </c>
      <c r="D14" s="15">
        <f t="shared" si="0"/>
        <v>0.14402173913043478</v>
      </c>
      <c r="E14" s="16">
        <f t="shared" si="1"/>
        <v>1</v>
      </c>
    </row>
    <row r="15" spans="2:7" x14ac:dyDescent="0.2">
      <c r="B15" s="13" t="s">
        <v>13</v>
      </c>
      <c r="C15" s="14">
        <f>IF(AND($C$5="Todos",$F$5="Todos"),SUMIFS(Datos!$E:$E,Datos!$A:$A,$B15),IF($C$5="Todos",SUMIFS(Datos!$E:$E,Datos!$A:$A,$B15,Datos!$D:$D,$F$5),IF($F$5="Todos",SUMIFS(Datos!$E:$E,Datos!$A:$A,$B15,Datos!$C:$C,$C$5),SUMIFS(Datos!$E:$E,Datos!$A:$A,$B15,Datos!$C:$C,$C$5,Datos!$D:$D,$F$5))))</f>
        <v>54</v>
      </c>
      <c r="D15" s="15">
        <f t="shared" si="0"/>
        <v>7.3369565217391311E-2</v>
      </c>
      <c r="E15" s="16">
        <f t="shared" si="1"/>
        <v>2</v>
      </c>
    </row>
    <row r="16" spans="2:7" x14ac:dyDescent="0.2">
      <c r="B16" s="13" t="s">
        <v>14</v>
      </c>
      <c r="C16" s="14">
        <f>IF(AND($C$5="Todos",$F$5="Todos"),SUMIFS(Datos!$E:$E,Datos!$A:$A,$B16),IF($C$5="Todos",SUMIFS(Datos!$E:$E,Datos!$A:$A,$B16,Datos!$D:$D,$F$5),IF($F$5="Todos",SUMIFS(Datos!$E:$E,Datos!$A:$A,$B16,Datos!$C:$C,$C$5),SUMIFS(Datos!$E:$E,Datos!$A:$A,$B16,Datos!$C:$C,$C$5,Datos!$D:$D,$F$5))))</f>
        <v>53</v>
      </c>
      <c r="D16" s="15">
        <f t="shared" si="0"/>
        <v>7.2010869565217392E-2</v>
      </c>
      <c r="E16" s="16">
        <f t="shared" si="1"/>
        <v>4</v>
      </c>
    </row>
    <row r="17" spans="2:7" x14ac:dyDescent="0.2">
      <c r="B17" s="13" t="s">
        <v>15</v>
      </c>
      <c r="C17" s="14">
        <f>IF(AND($C$5="Todos",$F$5="Todos"),SUMIFS(Datos!$E:$E,Datos!$A:$A,$B17),IF($C$5="Todos",SUMIFS(Datos!$E:$E,Datos!$A:$A,$B17,Datos!$D:$D,$F$5),IF($F$5="Todos",SUMIFS(Datos!$E:$E,Datos!$A:$A,$B17,Datos!$C:$C,$C$5),SUMIFS(Datos!$E:$E,Datos!$A:$A,$B17,Datos!$C:$C,$C$5,Datos!$D:$D,$F$5))))</f>
        <v>54</v>
      </c>
      <c r="D17" s="15">
        <f t="shared" si="0"/>
        <v>7.3369565217391311E-2</v>
      </c>
      <c r="E17" s="16">
        <f t="shared" si="1"/>
        <v>2</v>
      </c>
    </row>
    <row r="18" spans="2:7" x14ac:dyDescent="0.2">
      <c r="B18" s="13" t="s">
        <v>16</v>
      </c>
      <c r="C18" s="14">
        <f>IF(AND($C$5="Todos",$F$5="Todos"),SUMIFS(Datos!$E:$E,Datos!$A:$A,$B18),IF($C$5="Todos",SUMIFS(Datos!$E:$E,Datos!$A:$A,$B18,Datos!$D:$D,$F$5),IF($F$5="Todos",SUMIFS(Datos!$E:$E,Datos!$A:$A,$B18,Datos!$C:$C,$C$5),SUMIFS(Datos!$E:$E,Datos!$A:$A,$B18,Datos!$C:$C,$C$5,Datos!$D:$D,$F$5))))</f>
        <v>52</v>
      </c>
      <c r="D18" s="15">
        <f t="shared" si="0"/>
        <v>7.0652173913043473E-2</v>
      </c>
      <c r="E18" s="16">
        <f t="shared" si="1"/>
        <v>7</v>
      </c>
    </row>
    <row r="19" spans="2:7" x14ac:dyDescent="0.2">
      <c r="B19" s="13" t="s">
        <v>17</v>
      </c>
      <c r="C19" s="14">
        <f>IF(AND($C$5="Todos",$F$5="Todos"),SUMIFS(Datos!$E:$E,Datos!$A:$A,$B19),IF($C$5="Todos",SUMIFS(Datos!$E:$E,Datos!$A:$A,$B19,Datos!$D:$D,$F$5),IF($F$5="Todos",SUMIFS(Datos!$E:$E,Datos!$A:$A,$B19,Datos!$C:$C,$C$5),SUMIFS(Datos!$E:$E,Datos!$A:$A,$B19,Datos!$C:$C,$C$5,Datos!$D:$D,$F$5))))</f>
        <v>52</v>
      </c>
      <c r="D19" s="15">
        <f t="shared" si="0"/>
        <v>7.0652173913043473E-2</v>
      </c>
      <c r="E19" s="16">
        <f t="shared" si="1"/>
        <v>7</v>
      </c>
    </row>
    <row r="20" spans="2:7" x14ac:dyDescent="0.2">
      <c r="B20" s="13" t="s">
        <v>18</v>
      </c>
      <c r="C20" s="14">
        <f>IF(AND($C$5="Todos",$F$5="Todos"),SUMIFS(Datos!$E:$E,Datos!$A:$A,$B20),IF($C$5="Todos",SUMIFS(Datos!$E:$E,Datos!$A:$A,$B20,Datos!$D:$D,$F$5),IF($F$5="Todos",SUMIFS(Datos!$E:$E,Datos!$A:$A,$B20,Datos!$C:$C,$C$5),SUMIFS(Datos!$E:$E,Datos!$A:$A,$B20,Datos!$C:$C,$C$5,Datos!$D:$D,$F$5))))</f>
        <v>52</v>
      </c>
      <c r="D20" s="15">
        <f t="shared" si="0"/>
        <v>7.0652173913043473E-2</v>
      </c>
      <c r="E20" s="16">
        <f t="shared" si="1"/>
        <v>7</v>
      </c>
    </row>
    <row r="21" spans="2:7" x14ac:dyDescent="0.2">
      <c r="B21" s="13" t="s">
        <v>19</v>
      </c>
      <c r="C21" s="14">
        <f>IF(AND($C$5="Todos",$F$5="Todos"),SUMIFS(Datos!$E:$E,Datos!$A:$A,$B21),IF($C$5="Todos",SUMIFS(Datos!$E:$E,Datos!$A:$A,$B21,Datos!$D:$D,$F$5),IF($F$5="Todos",SUMIFS(Datos!$E:$E,Datos!$A:$A,$B21,Datos!$C:$C,$C$5),SUMIFS(Datos!$E:$E,Datos!$A:$A,$B21,Datos!$C:$C,$C$5,Datos!$D:$D,$F$5))))</f>
        <v>51</v>
      </c>
      <c r="D21" s="15">
        <f t="shared" si="0"/>
        <v>6.9293478260869568E-2</v>
      </c>
      <c r="E21" s="16">
        <f t="shared" si="1"/>
        <v>13</v>
      </c>
    </row>
    <row r="22" spans="2:7" x14ac:dyDescent="0.2">
      <c r="B22" s="13" t="s">
        <v>20</v>
      </c>
      <c r="C22" s="14">
        <f>IF(AND($C$5="Todos",$F$5="Todos"),SUMIFS(Datos!$E:$E,Datos!$A:$A,$B22),IF($C$5="Todos",SUMIFS(Datos!$E:$E,Datos!$A:$A,$B22,Datos!$D:$D,$F$5),IF($F$5="Todos",SUMIFS(Datos!$E:$E,Datos!$A:$A,$B22,Datos!$C:$C,$C$5),SUMIFS(Datos!$E:$E,Datos!$A:$A,$B22,Datos!$C:$C,$C$5,Datos!$D:$D,$F$5))))</f>
        <v>52</v>
      </c>
      <c r="D22" s="15">
        <f t="shared" si="0"/>
        <v>7.0652173913043473E-2</v>
      </c>
      <c r="E22" s="16">
        <f t="shared" si="1"/>
        <v>7</v>
      </c>
    </row>
    <row r="23" spans="2:7" x14ac:dyDescent="0.2">
      <c r="B23" s="13" t="s">
        <v>21</v>
      </c>
      <c r="C23" s="14">
        <f>IF(AND($C$5="Todos",$F$5="Todos"),SUMIFS(Datos!$E:$E,Datos!$A:$A,$B23),IF($C$5="Todos",SUMIFS(Datos!$E:$E,Datos!$A:$A,$B23,Datos!$D:$D,$F$5),IF($F$5="Todos",SUMIFS(Datos!$E:$E,Datos!$A:$A,$B23,Datos!$C:$C,$C$5),SUMIFS(Datos!$E:$E,Datos!$A:$A,$B23,Datos!$C:$C,$C$5,Datos!$D:$D,$F$5))))</f>
        <v>53</v>
      </c>
      <c r="D23" s="15">
        <f t="shared" si="0"/>
        <v>7.2010869565217392E-2</v>
      </c>
      <c r="E23" s="16">
        <f t="shared" si="1"/>
        <v>4</v>
      </c>
    </row>
    <row r="24" spans="2:7" x14ac:dyDescent="0.2">
      <c r="B24" s="13" t="s">
        <v>22</v>
      </c>
      <c r="C24" s="14">
        <f>IF(AND($C$5="Todos",$F$5="Todos"),SUMIFS(Datos!$E:$E,Datos!$A:$A,$B24),IF($C$5="Todos",SUMIFS(Datos!$E:$E,Datos!$A:$A,$B24,Datos!$D:$D,$F$5),IF($F$5="Todos",SUMIFS(Datos!$E:$E,Datos!$A:$A,$B24,Datos!$C:$C,$C$5),SUMIFS(Datos!$E:$E,Datos!$A:$A,$B24,Datos!$C:$C,$C$5,Datos!$D:$D,$F$5))))</f>
        <v>52</v>
      </c>
      <c r="D24" s="15">
        <f t="shared" si="0"/>
        <v>7.0652173913043473E-2</v>
      </c>
      <c r="E24" s="16">
        <f t="shared" si="1"/>
        <v>7</v>
      </c>
    </row>
    <row r="25" spans="2:7" x14ac:dyDescent="0.2">
      <c r="B25" s="13" t="s">
        <v>23</v>
      </c>
      <c r="C25" s="14">
        <f>IF(AND($C$5="Todos",$F$5="Todos"),SUMIFS(Datos!$E:$E,Datos!$A:$A,$B25),IF($C$5="Todos",SUMIFS(Datos!$E:$E,Datos!$A:$A,$B25,Datos!$D:$D,$F$5),IF($F$5="Todos",SUMIFS(Datos!$E:$E,Datos!$A:$A,$B25,Datos!$C:$C,$C$5),SUMIFS(Datos!$E:$E,Datos!$A:$A,$B25,Datos!$C:$C,$C$5,Datos!$D:$D,$F$5))))</f>
        <v>52</v>
      </c>
      <c r="D25" s="15">
        <f t="shared" si="0"/>
        <v>7.0652173913043473E-2</v>
      </c>
      <c r="E25" s="16">
        <f t="shared" si="1"/>
        <v>7</v>
      </c>
    </row>
    <row r="27" spans="2:7" ht="22.25" customHeight="1" x14ac:dyDescent="0.2">
      <c r="B27" s="1"/>
      <c r="C27" s="1"/>
      <c r="D27" s="1"/>
      <c r="E27" s="1"/>
      <c r="F27" s="1"/>
      <c r="G27" s="1"/>
    </row>
    <row r="28" spans="2:7" ht="31" customHeight="1" x14ac:dyDescent="0.2">
      <c r="B28" s="1"/>
      <c r="C28" s="1"/>
      <c r="D28" s="1"/>
      <c r="E28" s="1"/>
      <c r="F28" s="1"/>
      <c r="G28" s="1"/>
    </row>
    <row r="29" spans="2:7" ht="15" customHeight="1" x14ac:dyDescent="0.2">
      <c r="B29" s="1"/>
      <c r="C29" s="1"/>
      <c r="D29" s="1"/>
      <c r="E29" s="1"/>
      <c r="F29" s="1"/>
      <c r="G29" s="1"/>
    </row>
  </sheetData>
  <mergeCells count="7">
    <mergeCell ref="B28:G28"/>
    <mergeCell ref="B29:G29"/>
    <mergeCell ref="D5:E5"/>
    <mergeCell ref="B7:C7"/>
    <mergeCell ref="D7:E7"/>
    <mergeCell ref="F7:G7"/>
    <mergeCell ref="B27:G27"/>
  </mergeCells>
  <conditionalFormatting sqref="C13:C25">
    <cfRule type="colorScale" priority="2">
      <colorScale>
        <cfvo type="min"/>
        <cfvo type="percentile" val="50"/>
        <cfvo type="max"/>
        <color rgb="FFFBE9C8"/>
        <color rgb="FFE3AE55"/>
        <color rgb="FF9C463C"/>
      </colorScale>
    </cfRule>
  </conditionalFormatting>
  <dataValidations count="2">
    <dataValidation type="list" sqref="C5" xr:uid="{00000000-0002-0000-0000-000000000000}">
      <formula1>"Todos,2020,2021,2022,2023"</formula1>
      <formula2>0</formula2>
    </dataValidation>
    <dataValidation type="list" sqref="F5" xr:uid="{00000000-0002-0000-0000-000001000000}">
      <formula1>"Todos,Mayor,Otros,Secos"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A3D5-4B32-0B44-99C2-1BF4FC411498}">
  <dimension ref="A3:C7"/>
  <sheetViews>
    <sheetView workbookViewId="0">
      <selection activeCell="A3" sqref="A3"/>
    </sheetView>
  </sheetViews>
  <sheetFormatPr baseColWidth="10" defaultRowHeight="15" x14ac:dyDescent="0.2"/>
  <cols>
    <col min="1" max="1" width="18.33203125" bestFit="1" customWidth="1"/>
    <col min="2" max="2" width="13.83203125" bestFit="1" customWidth="1"/>
    <col min="3" max="3" width="11.6640625" bestFit="1" customWidth="1"/>
  </cols>
  <sheetData>
    <row r="3" spans="1:3" x14ac:dyDescent="0.2">
      <c r="A3" s="20" t="s">
        <v>47</v>
      </c>
      <c r="B3" t="s">
        <v>50</v>
      </c>
      <c r="C3" t="s">
        <v>49</v>
      </c>
    </row>
    <row r="4" spans="1:3" x14ac:dyDescent="0.2">
      <c r="A4" s="21" t="s">
        <v>28</v>
      </c>
      <c r="B4" s="23">
        <v>47</v>
      </c>
      <c r="C4" s="23">
        <v>2020</v>
      </c>
    </row>
    <row r="5" spans="1:3" x14ac:dyDescent="0.2">
      <c r="A5" s="22" t="s">
        <v>30</v>
      </c>
      <c r="B5" s="23">
        <v>47</v>
      </c>
      <c r="C5" s="23">
        <v>2020</v>
      </c>
    </row>
    <row r="6" spans="1:3" x14ac:dyDescent="0.2">
      <c r="A6" s="24" t="s">
        <v>12</v>
      </c>
      <c r="B6" s="23">
        <v>47</v>
      </c>
      <c r="C6" s="23">
        <v>2020</v>
      </c>
    </row>
    <row r="7" spans="1:3" x14ac:dyDescent="0.2">
      <c r="A7" s="21" t="s">
        <v>48</v>
      </c>
      <c r="B7" s="23">
        <v>47</v>
      </c>
      <c r="C7" s="23">
        <v>2020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1"/>
  <sheetViews>
    <sheetView topLeftCell="A2" zoomScaleNormal="100" workbookViewId="0">
      <selection sqref="A1:E131"/>
    </sheetView>
  </sheetViews>
  <sheetFormatPr baseColWidth="10" defaultColWidth="8.6640625" defaultRowHeight="15" x14ac:dyDescent="0.2"/>
  <cols>
    <col min="1" max="1" width="22" customWidth="1"/>
    <col min="2" max="2" width="26" customWidth="1"/>
    <col min="3" max="3" width="8" customWidth="1"/>
    <col min="4" max="4" width="14" customWidth="1"/>
    <col min="5" max="5" width="10" customWidth="1"/>
  </cols>
  <sheetData>
    <row r="1" spans="1:5" x14ac:dyDescent="0.2">
      <c r="A1" s="17" t="s">
        <v>7</v>
      </c>
      <c r="B1" s="17" t="s">
        <v>24</v>
      </c>
      <c r="C1" s="17" t="s">
        <v>25</v>
      </c>
      <c r="D1" s="17" t="s">
        <v>26</v>
      </c>
      <c r="E1" s="17" t="s">
        <v>8</v>
      </c>
    </row>
    <row r="2" spans="1:5" x14ac:dyDescent="0.2">
      <c r="A2" s="18" t="s">
        <v>11</v>
      </c>
      <c r="B2" s="18" t="s">
        <v>27</v>
      </c>
      <c r="C2" s="18">
        <v>2020</v>
      </c>
      <c r="D2" s="18" t="s">
        <v>28</v>
      </c>
      <c r="E2" s="18">
        <v>46</v>
      </c>
    </row>
    <row r="3" spans="1:5" x14ac:dyDescent="0.2">
      <c r="A3" s="18" t="s">
        <v>11</v>
      </c>
      <c r="B3" s="18" t="s">
        <v>27</v>
      </c>
      <c r="C3" s="18">
        <v>2020</v>
      </c>
      <c r="D3" s="18" t="s">
        <v>29</v>
      </c>
      <c r="E3" s="18">
        <v>1568</v>
      </c>
    </row>
    <row r="4" spans="1:5" x14ac:dyDescent="0.2">
      <c r="A4" s="18" t="s">
        <v>11</v>
      </c>
      <c r="B4" s="18" t="s">
        <v>27</v>
      </c>
      <c r="C4" s="18">
        <v>2021</v>
      </c>
      <c r="D4" s="18" t="s">
        <v>28</v>
      </c>
      <c r="E4" s="18">
        <v>55</v>
      </c>
    </row>
    <row r="5" spans="1:5" x14ac:dyDescent="0.2">
      <c r="A5" s="18" t="s">
        <v>11</v>
      </c>
      <c r="B5" s="18" t="s">
        <v>27</v>
      </c>
      <c r="C5" s="18">
        <v>2021</v>
      </c>
      <c r="D5" s="18" t="s">
        <v>29</v>
      </c>
      <c r="E5" s="18">
        <v>1870</v>
      </c>
    </row>
    <row r="6" spans="1:5" x14ac:dyDescent="0.2">
      <c r="A6" s="18" t="s">
        <v>11</v>
      </c>
      <c r="B6" s="18" t="s">
        <v>27</v>
      </c>
      <c r="C6" s="18">
        <v>2022</v>
      </c>
      <c r="D6" s="18" t="s">
        <v>28</v>
      </c>
      <c r="E6" s="18">
        <v>53</v>
      </c>
    </row>
    <row r="7" spans="1:5" x14ac:dyDescent="0.2">
      <c r="A7" s="18" t="s">
        <v>11</v>
      </c>
      <c r="B7" s="18" t="s">
        <v>27</v>
      </c>
      <c r="C7" s="18">
        <v>2022</v>
      </c>
      <c r="D7" s="18" t="s">
        <v>29</v>
      </c>
      <c r="E7" s="18">
        <v>1861</v>
      </c>
    </row>
    <row r="8" spans="1:5" x14ac:dyDescent="0.2">
      <c r="A8" s="18" t="s">
        <v>11</v>
      </c>
      <c r="B8" s="18" t="s">
        <v>27</v>
      </c>
      <c r="C8" s="18">
        <v>2023</v>
      </c>
      <c r="D8" s="18" t="s">
        <v>28</v>
      </c>
      <c r="E8" s="18">
        <v>37</v>
      </c>
    </row>
    <row r="9" spans="1:5" x14ac:dyDescent="0.2">
      <c r="A9" s="18" t="s">
        <v>11</v>
      </c>
      <c r="B9" s="18" t="s">
        <v>27</v>
      </c>
      <c r="C9" s="18">
        <v>2023</v>
      </c>
      <c r="D9" s="18" t="s">
        <v>29</v>
      </c>
      <c r="E9" s="18">
        <v>1339</v>
      </c>
    </row>
    <row r="10" spans="1:5" x14ac:dyDescent="0.2">
      <c r="A10" s="18" t="s">
        <v>12</v>
      </c>
      <c r="B10" s="18" t="s">
        <v>30</v>
      </c>
      <c r="C10" s="18">
        <v>2020</v>
      </c>
      <c r="D10" s="18" t="s">
        <v>28</v>
      </c>
      <c r="E10" s="18">
        <v>47</v>
      </c>
    </row>
    <row r="11" spans="1:5" x14ac:dyDescent="0.2">
      <c r="A11" s="18" t="s">
        <v>12</v>
      </c>
      <c r="B11" s="18" t="s">
        <v>31</v>
      </c>
      <c r="C11" s="18">
        <v>2020</v>
      </c>
      <c r="D11" s="18" t="s">
        <v>28</v>
      </c>
      <c r="E11" s="18">
        <v>45</v>
      </c>
    </row>
    <row r="12" spans="1:5" x14ac:dyDescent="0.2">
      <c r="A12" s="18" t="s">
        <v>12</v>
      </c>
      <c r="B12" s="18" t="s">
        <v>30</v>
      </c>
      <c r="C12" s="18">
        <v>2020</v>
      </c>
      <c r="D12" s="18" t="s">
        <v>29</v>
      </c>
      <c r="E12" s="18">
        <v>2141</v>
      </c>
    </row>
    <row r="13" spans="1:5" x14ac:dyDescent="0.2">
      <c r="A13" s="18" t="s">
        <v>12</v>
      </c>
      <c r="B13" s="18" t="s">
        <v>31</v>
      </c>
      <c r="C13" s="18">
        <v>2020</v>
      </c>
      <c r="D13" s="18" t="s">
        <v>29</v>
      </c>
      <c r="E13" s="18">
        <v>2450</v>
      </c>
    </row>
    <row r="14" spans="1:5" x14ac:dyDescent="0.2">
      <c r="A14" s="18" t="s">
        <v>12</v>
      </c>
      <c r="B14" s="18" t="s">
        <v>30</v>
      </c>
      <c r="C14" s="18">
        <v>2021</v>
      </c>
      <c r="D14" s="18" t="s">
        <v>28</v>
      </c>
      <c r="E14" s="18">
        <v>53</v>
      </c>
    </row>
    <row r="15" spans="1:5" x14ac:dyDescent="0.2">
      <c r="A15" s="18" t="s">
        <v>12</v>
      </c>
      <c r="B15" s="18" t="s">
        <v>31</v>
      </c>
      <c r="C15" s="18">
        <v>2021</v>
      </c>
      <c r="D15" s="18" t="s">
        <v>28</v>
      </c>
      <c r="E15" s="18">
        <v>54</v>
      </c>
    </row>
    <row r="16" spans="1:5" x14ac:dyDescent="0.2">
      <c r="A16" s="18" t="s">
        <v>12</v>
      </c>
      <c r="B16" s="18" t="s">
        <v>31</v>
      </c>
      <c r="C16" s="18">
        <v>2021</v>
      </c>
      <c r="D16" s="18" t="s">
        <v>32</v>
      </c>
      <c r="E16" s="18">
        <v>150</v>
      </c>
    </row>
    <row r="17" spans="1:5" x14ac:dyDescent="0.2">
      <c r="A17" s="18" t="s">
        <v>12</v>
      </c>
      <c r="B17" s="18" t="s">
        <v>30</v>
      </c>
      <c r="C17" s="18">
        <v>2021</v>
      </c>
      <c r="D17" s="18" t="s">
        <v>29</v>
      </c>
      <c r="E17" s="18">
        <v>2645</v>
      </c>
    </row>
    <row r="18" spans="1:5" x14ac:dyDescent="0.2">
      <c r="A18" s="18" t="s">
        <v>12</v>
      </c>
      <c r="B18" s="18" t="s">
        <v>31</v>
      </c>
      <c r="C18" s="18">
        <v>2021</v>
      </c>
      <c r="D18" s="18" t="s">
        <v>29</v>
      </c>
      <c r="E18" s="18">
        <v>3133</v>
      </c>
    </row>
    <row r="19" spans="1:5" x14ac:dyDescent="0.2">
      <c r="A19" s="18" t="s">
        <v>12</v>
      </c>
      <c r="B19" s="18" t="s">
        <v>30</v>
      </c>
      <c r="C19" s="18">
        <v>2022</v>
      </c>
      <c r="D19" s="18" t="s">
        <v>28</v>
      </c>
      <c r="E19" s="18">
        <v>53</v>
      </c>
    </row>
    <row r="20" spans="1:5" x14ac:dyDescent="0.2">
      <c r="A20" s="18" t="s">
        <v>12</v>
      </c>
      <c r="B20" s="18" t="s">
        <v>31</v>
      </c>
      <c r="C20" s="18">
        <v>2022</v>
      </c>
      <c r="D20" s="18" t="s">
        <v>28</v>
      </c>
      <c r="E20" s="18">
        <v>53</v>
      </c>
    </row>
    <row r="21" spans="1:5" x14ac:dyDescent="0.2">
      <c r="A21" s="18" t="s">
        <v>12</v>
      </c>
      <c r="B21" s="18" t="s">
        <v>31</v>
      </c>
      <c r="C21" s="18">
        <v>2022</v>
      </c>
      <c r="D21" s="18" t="s">
        <v>32</v>
      </c>
      <c r="E21" s="18">
        <v>31</v>
      </c>
    </row>
    <row r="22" spans="1:5" x14ac:dyDescent="0.2">
      <c r="A22" s="18" t="s">
        <v>12</v>
      </c>
      <c r="B22" s="18" t="s">
        <v>30</v>
      </c>
      <c r="C22" s="18">
        <v>2022</v>
      </c>
      <c r="D22" s="18" t="s">
        <v>29</v>
      </c>
      <c r="E22" s="18">
        <v>2813</v>
      </c>
    </row>
    <row r="23" spans="1:5" x14ac:dyDescent="0.2">
      <c r="A23" s="18" t="s">
        <v>12</v>
      </c>
      <c r="B23" s="18" t="s">
        <v>31</v>
      </c>
      <c r="C23" s="18">
        <v>2022</v>
      </c>
      <c r="D23" s="18" t="s">
        <v>29</v>
      </c>
      <c r="E23" s="18">
        <v>3244</v>
      </c>
    </row>
    <row r="24" spans="1:5" x14ac:dyDescent="0.2">
      <c r="A24" s="18" t="s">
        <v>12</v>
      </c>
      <c r="B24" s="18" t="s">
        <v>30</v>
      </c>
      <c r="C24" s="18">
        <v>2023</v>
      </c>
      <c r="D24" s="18" t="s">
        <v>28</v>
      </c>
      <c r="E24" s="18">
        <v>37</v>
      </c>
    </row>
    <row r="25" spans="1:5" x14ac:dyDescent="0.2">
      <c r="A25" s="18" t="s">
        <v>12</v>
      </c>
      <c r="B25" s="18" t="s">
        <v>31</v>
      </c>
      <c r="C25" s="18">
        <v>2023</v>
      </c>
      <c r="D25" s="18" t="s">
        <v>28</v>
      </c>
      <c r="E25" s="18">
        <v>37</v>
      </c>
    </row>
    <row r="26" spans="1:5" x14ac:dyDescent="0.2">
      <c r="A26" s="18" t="s">
        <v>12</v>
      </c>
      <c r="B26" s="18" t="s">
        <v>31</v>
      </c>
      <c r="C26" s="18">
        <v>2023</v>
      </c>
      <c r="D26" s="18" t="s">
        <v>32</v>
      </c>
      <c r="E26" s="18">
        <v>140</v>
      </c>
    </row>
    <row r="27" spans="1:5" x14ac:dyDescent="0.2">
      <c r="A27" s="18" t="s">
        <v>12</v>
      </c>
      <c r="B27" s="18" t="s">
        <v>30</v>
      </c>
      <c r="C27" s="18">
        <v>2023</v>
      </c>
      <c r="D27" s="18" t="s">
        <v>29</v>
      </c>
      <c r="E27" s="18">
        <v>1952</v>
      </c>
    </row>
    <row r="28" spans="1:5" x14ac:dyDescent="0.2">
      <c r="A28" s="18" t="s">
        <v>12</v>
      </c>
      <c r="B28" s="18" t="s">
        <v>31</v>
      </c>
      <c r="C28" s="18">
        <v>2023</v>
      </c>
      <c r="D28" s="18" t="s">
        <v>29</v>
      </c>
      <c r="E28" s="18">
        <v>2106</v>
      </c>
    </row>
    <row r="29" spans="1:5" x14ac:dyDescent="0.2">
      <c r="A29" s="18" t="s">
        <v>13</v>
      </c>
      <c r="B29" s="18" t="s">
        <v>33</v>
      </c>
      <c r="C29" s="18">
        <v>2020</v>
      </c>
      <c r="D29" s="18" t="s">
        <v>28</v>
      </c>
      <c r="E29" s="18">
        <v>46</v>
      </c>
    </row>
    <row r="30" spans="1:5" x14ac:dyDescent="0.2">
      <c r="A30" s="18" t="s">
        <v>13</v>
      </c>
      <c r="B30" s="18" t="s">
        <v>33</v>
      </c>
      <c r="C30" s="18">
        <v>2020</v>
      </c>
      <c r="D30" s="18" t="s">
        <v>29</v>
      </c>
      <c r="E30" s="18">
        <v>1888</v>
      </c>
    </row>
    <row r="31" spans="1:5" x14ac:dyDescent="0.2">
      <c r="A31" s="18" t="s">
        <v>13</v>
      </c>
      <c r="B31" s="18" t="s">
        <v>33</v>
      </c>
      <c r="C31" s="18">
        <v>2021</v>
      </c>
      <c r="D31" s="18" t="s">
        <v>28</v>
      </c>
      <c r="E31" s="18">
        <v>54</v>
      </c>
    </row>
    <row r="32" spans="1:5" x14ac:dyDescent="0.2">
      <c r="A32" s="18" t="s">
        <v>13</v>
      </c>
      <c r="B32" s="18" t="s">
        <v>33</v>
      </c>
      <c r="C32" s="18">
        <v>2021</v>
      </c>
      <c r="D32" s="18" t="s">
        <v>29</v>
      </c>
      <c r="E32" s="18">
        <v>2452</v>
      </c>
    </row>
    <row r="33" spans="1:5" x14ac:dyDescent="0.2">
      <c r="A33" s="18" t="s">
        <v>13</v>
      </c>
      <c r="B33" s="18" t="s">
        <v>33</v>
      </c>
      <c r="C33" s="18">
        <v>2022</v>
      </c>
      <c r="D33" s="18" t="s">
        <v>28</v>
      </c>
      <c r="E33" s="18">
        <v>54</v>
      </c>
    </row>
    <row r="34" spans="1:5" x14ac:dyDescent="0.2">
      <c r="A34" s="18" t="s">
        <v>13</v>
      </c>
      <c r="B34" s="18" t="s">
        <v>33</v>
      </c>
      <c r="C34" s="18">
        <v>2022</v>
      </c>
      <c r="D34" s="18" t="s">
        <v>29</v>
      </c>
      <c r="E34" s="18">
        <v>2888</v>
      </c>
    </row>
    <row r="35" spans="1:5" x14ac:dyDescent="0.2">
      <c r="A35" s="18" t="s">
        <v>13</v>
      </c>
      <c r="B35" s="18" t="s">
        <v>33</v>
      </c>
      <c r="C35" s="18">
        <v>2023</v>
      </c>
      <c r="D35" s="18" t="s">
        <v>28</v>
      </c>
      <c r="E35" s="18">
        <v>37</v>
      </c>
    </row>
    <row r="36" spans="1:5" x14ac:dyDescent="0.2">
      <c r="A36" s="18" t="s">
        <v>13</v>
      </c>
      <c r="B36" s="18" t="s">
        <v>33</v>
      </c>
      <c r="C36" s="18">
        <v>2023</v>
      </c>
      <c r="D36" s="18" t="s">
        <v>29</v>
      </c>
      <c r="E36" s="18">
        <v>1914</v>
      </c>
    </row>
    <row r="37" spans="1:5" x14ac:dyDescent="0.2">
      <c r="A37" s="18" t="s">
        <v>14</v>
      </c>
      <c r="B37" s="18" t="s">
        <v>34</v>
      </c>
      <c r="C37" s="18">
        <v>2020</v>
      </c>
      <c r="D37" s="18" t="s">
        <v>28</v>
      </c>
      <c r="E37" s="18">
        <v>46</v>
      </c>
    </row>
    <row r="38" spans="1:5" x14ac:dyDescent="0.2">
      <c r="A38" s="18" t="s">
        <v>14</v>
      </c>
      <c r="B38" s="18" t="s">
        <v>34</v>
      </c>
      <c r="C38" s="18">
        <v>2020</v>
      </c>
      <c r="D38" s="18" t="s">
        <v>29</v>
      </c>
      <c r="E38" s="18">
        <v>1786</v>
      </c>
    </row>
    <row r="39" spans="1:5" x14ac:dyDescent="0.2">
      <c r="A39" s="18" t="s">
        <v>14</v>
      </c>
      <c r="B39" s="18" t="s">
        <v>34</v>
      </c>
      <c r="C39" s="18">
        <v>2021</v>
      </c>
      <c r="D39" s="18" t="s">
        <v>28</v>
      </c>
      <c r="E39" s="18">
        <v>53</v>
      </c>
    </row>
    <row r="40" spans="1:5" x14ac:dyDescent="0.2">
      <c r="A40" s="18" t="s">
        <v>14</v>
      </c>
      <c r="B40" s="18" t="s">
        <v>34</v>
      </c>
      <c r="C40" s="18">
        <v>2021</v>
      </c>
      <c r="D40" s="18" t="s">
        <v>29</v>
      </c>
      <c r="E40" s="18">
        <v>1266</v>
      </c>
    </row>
    <row r="41" spans="1:5" x14ac:dyDescent="0.2">
      <c r="A41" s="18" t="s">
        <v>14</v>
      </c>
      <c r="B41" s="18" t="s">
        <v>34</v>
      </c>
      <c r="C41" s="18">
        <v>2022</v>
      </c>
      <c r="D41" s="18" t="s">
        <v>28</v>
      </c>
      <c r="E41" s="18">
        <v>53</v>
      </c>
    </row>
    <row r="42" spans="1:5" x14ac:dyDescent="0.2">
      <c r="A42" s="18" t="s">
        <v>14</v>
      </c>
      <c r="B42" s="18" t="s">
        <v>34</v>
      </c>
      <c r="C42" s="18">
        <v>2022</v>
      </c>
      <c r="D42" s="18" t="s">
        <v>32</v>
      </c>
      <c r="E42" s="18">
        <v>5</v>
      </c>
    </row>
    <row r="43" spans="1:5" x14ac:dyDescent="0.2">
      <c r="A43" s="18" t="s">
        <v>14</v>
      </c>
      <c r="B43" s="18" t="s">
        <v>34</v>
      </c>
      <c r="C43" s="18">
        <v>2022</v>
      </c>
      <c r="D43" s="18" t="s">
        <v>29</v>
      </c>
      <c r="E43" s="18">
        <v>1507</v>
      </c>
    </row>
    <row r="44" spans="1:5" x14ac:dyDescent="0.2">
      <c r="A44" s="18" t="s">
        <v>14</v>
      </c>
      <c r="B44" s="18" t="s">
        <v>34</v>
      </c>
      <c r="C44" s="18">
        <v>2023</v>
      </c>
      <c r="D44" s="18" t="s">
        <v>28</v>
      </c>
      <c r="E44" s="18">
        <v>37</v>
      </c>
    </row>
    <row r="45" spans="1:5" x14ac:dyDescent="0.2">
      <c r="A45" s="18" t="s">
        <v>14</v>
      </c>
      <c r="B45" s="18" t="s">
        <v>34</v>
      </c>
      <c r="C45" s="18">
        <v>2023</v>
      </c>
      <c r="D45" s="18" t="s">
        <v>32</v>
      </c>
      <c r="E45" s="18">
        <v>12</v>
      </c>
    </row>
    <row r="46" spans="1:5" x14ac:dyDescent="0.2">
      <c r="A46" s="18" t="s">
        <v>14</v>
      </c>
      <c r="B46" s="18" t="s">
        <v>34</v>
      </c>
      <c r="C46" s="18">
        <v>2023</v>
      </c>
      <c r="D46" s="18" t="s">
        <v>29</v>
      </c>
      <c r="E46" s="18">
        <v>1098</v>
      </c>
    </row>
    <row r="47" spans="1:5" x14ac:dyDescent="0.2">
      <c r="A47" s="18" t="s">
        <v>15</v>
      </c>
      <c r="B47" s="18" t="s">
        <v>35</v>
      </c>
      <c r="C47" s="18">
        <v>2020</v>
      </c>
      <c r="D47" s="18" t="s">
        <v>28</v>
      </c>
      <c r="E47" s="18">
        <v>45</v>
      </c>
    </row>
    <row r="48" spans="1:5" x14ac:dyDescent="0.2">
      <c r="A48" s="18" t="s">
        <v>15</v>
      </c>
      <c r="B48" s="18" t="s">
        <v>35</v>
      </c>
      <c r="C48" s="18">
        <v>2020</v>
      </c>
      <c r="D48" s="18" t="s">
        <v>29</v>
      </c>
      <c r="E48" s="18">
        <v>1350</v>
      </c>
    </row>
    <row r="49" spans="1:5" x14ac:dyDescent="0.2">
      <c r="A49" s="18" t="s">
        <v>15</v>
      </c>
      <c r="B49" s="18" t="s">
        <v>35</v>
      </c>
      <c r="C49" s="18">
        <v>2021</v>
      </c>
      <c r="D49" s="18" t="s">
        <v>28</v>
      </c>
      <c r="E49" s="18">
        <v>53</v>
      </c>
    </row>
    <row r="50" spans="1:5" x14ac:dyDescent="0.2">
      <c r="A50" s="18" t="s">
        <v>15</v>
      </c>
      <c r="B50" s="18" t="s">
        <v>35</v>
      </c>
      <c r="C50" s="18">
        <v>2021</v>
      </c>
      <c r="D50" s="18" t="s">
        <v>29</v>
      </c>
      <c r="E50" s="18">
        <v>1786</v>
      </c>
    </row>
    <row r="51" spans="1:5" x14ac:dyDescent="0.2">
      <c r="A51" s="18" t="s">
        <v>15</v>
      </c>
      <c r="B51" s="18" t="s">
        <v>35</v>
      </c>
      <c r="C51" s="18">
        <v>2022</v>
      </c>
      <c r="D51" s="18" t="s">
        <v>28</v>
      </c>
      <c r="E51" s="18">
        <v>54</v>
      </c>
    </row>
    <row r="52" spans="1:5" x14ac:dyDescent="0.2">
      <c r="A52" s="18" t="s">
        <v>15</v>
      </c>
      <c r="B52" s="18" t="s">
        <v>35</v>
      </c>
      <c r="C52" s="18">
        <v>2022</v>
      </c>
      <c r="D52" s="18" t="s">
        <v>29</v>
      </c>
      <c r="E52" s="18">
        <v>1989</v>
      </c>
    </row>
    <row r="53" spans="1:5" x14ac:dyDescent="0.2">
      <c r="A53" s="18" t="s">
        <v>15</v>
      </c>
      <c r="B53" s="18" t="s">
        <v>35</v>
      </c>
      <c r="C53" s="18">
        <v>2023</v>
      </c>
      <c r="D53" s="18" t="s">
        <v>28</v>
      </c>
      <c r="E53" s="18">
        <v>37</v>
      </c>
    </row>
    <row r="54" spans="1:5" x14ac:dyDescent="0.2">
      <c r="A54" s="18" t="s">
        <v>15</v>
      </c>
      <c r="B54" s="18" t="s">
        <v>35</v>
      </c>
      <c r="C54" s="18">
        <v>2023</v>
      </c>
      <c r="D54" s="18" t="s">
        <v>29</v>
      </c>
      <c r="E54" s="18">
        <v>1325</v>
      </c>
    </row>
    <row r="55" spans="1:5" x14ac:dyDescent="0.2">
      <c r="A55" s="18" t="s">
        <v>16</v>
      </c>
      <c r="B55" s="18" t="s">
        <v>36</v>
      </c>
      <c r="C55" s="18">
        <v>2020</v>
      </c>
      <c r="D55" s="18" t="s">
        <v>28</v>
      </c>
      <c r="E55" s="18">
        <v>45</v>
      </c>
    </row>
    <row r="56" spans="1:5" x14ac:dyDescent="0.2">
      <c r="A56" s="18" t="s">
        <v>16</v>
      </c>
      <c r="B56" s="18" t="s">
        <v>36</v>
      </c>
      <c r="C56" s="18">
        <v>2020</v>
      </c>
      <c r="D56" s="18" t="s">
        <v>29</v>
      </c>
      <c r="E56" s="18">
        <v>2385</v>
      </c>
    </row>
    <row r="57" spans="1:5" x14ac:dyDescent="0.2">
      <c r="A57" s="18" t="s">
        <v>16</v>
      </c>
      <c r="B57" s="18" t="s">
        <v>36</v>
      </c>
      <c r="C57" s="18">
        <v>2021</v>
      </c>
      <c r="D57" s="18" t="s">
        <v>28</v>
      </c>
      <c r="E57" s="18">
        <v>52</v>
      </c>
    </row>
    <row r="58" spans="1:5" x14ac:dyDescent="0.2">
      <c r="A58" s="18" t="s">
        <v>16</v>
      </c>
      <c r="B58" s="18" t="s">
        <v>36</v>
      </c>
      <c r="C58" s="18">
        <v>2021</v>
      </c>
      <c r="D58" s="18" t="s">
        <v>29</v>
      </c>
      <c r="E58" s="18">
        <v>2528</v>
      </c>
    </row>
    <row r="59" spans="1:5" x14ac:dyDescent="0.2">
      <c r="A59" s="18" t="s">
        <v>16</v>
      </c>
      <c r="B59" s="18" t="s">
        <v>36</v>
      </c>
      <c r="C59" s="18">
        <v>2022</v>
      </c>
      <c r="D59" s="18" t="s">
        <v>28</v>
      </c>
      <c r="E59" s="18">
        <v>52</v>
      </c>
    </row>
    <row r="60" spans="1:5" x14ac:dyDescent="0.2">
      <c r="A60" s="18" t="s">
        <v>16</v>
      </c>
      <c r="B60" s="18" t="s">
        <v>36</v>
      </c>
      <c r="C60" s="18">
        <v>2022</v>
      </c>
      <c r="D60" s="18" t="s">
        <v>29</v>
      </c>
      <c r="E60" s="18">
        <v>2444</v>
      </c>
    </row>
    <row r="61" spans="1:5" x14ac:dyDescent="0.2">
      <c r="A61" s="18" t="s">
        <v>16</v>
      </c>
      <c r="B61" s="18" t="s">
        <v>36</v>
      </c>
      <c r="C61" s="18">
        <v>2023</v>
      </c>
      <c r="D61" s="18" t="s">
        <v>28</v>
      </c>
      <c r="E61" s="18">
        <v>37</v>
      </c>
    </row>
    <row r="62" spans="1:5" x14ac:dyDescent="0.2">
      <c r="A62" s="18" t="s">
        <v>16</v>
      </c>
      <c r="B62" s="18" t="s">
        <v>36</v>
      </c>
      <c r="C62" s="18">
        <v>2023</v>
      </c>
      <c r="D62" s="18" t="s">
        <v>29</v>
      </c>
      <c r="E62" s="18">
        <v>1760</v>
      </c>
    </row>
    <row r="63" spans="1:5" x14ac:dyDescent="0.2">
      <c r="A63" s="18" t="s">
        <v>17</v>
      </c>
      <c r="B63" s="18" t="s">
        <v>37</v>
      </c>
      <c r="C63" s="18">
        <v>2020</v>
      </c>
      <c r="D63" s="18" t="s">
        <v>28</v>
      </c>
      <c r="E63" s="18">
        <v>45</v>
      </c>
    </row>
    <row r="64" spans="1:5" x14ac:dyDescent="0.2">
      <c r="A64" s="18" t="s">
        <v>17</v>
      </c>
      <c r="B64" s="18" t="s">
        <v>37</v>
      </c>
      <c r="C64" s="18">
        <v>2020</v>
      </c>
      <c r="D64" s="18" t="s">
        <v>32</v>
      </c>
      <c r="E64" s="18">
        <v>46</v>
      </c>
    </row>
    <row r="65" spans="1:5" x14ac:dyDescent="0.2">
      <c r="A65" s="18" t="s">
        <v>17</v>
      </c>
      <c r="B65" s="18" t="s">
        <v>37</v>
      </c>
      <c r="C65" s="18">
        <v>2020</v>
      </c>
      <c r="D65" s="18" t="s">
        <v>29</v>
      </c>
      <c r="E65" s="18">
        <v>1845</v>
      </c>
    </row>
    <row r="66" spans="1:5" x14ac:dyDescent="0.2">
      <c r="A66" s="18" t="s">
        <v>17</v>
      </c>
      <c r="B66" s="18" t="s">
        <v>37</v>
      </c>
      <c r="C66" s="18">
        <v>2021</v>
      </c>
      <c r="D66" s="18" t="s">
        <v>28</v>
      </c>
      <c r="E66" s="18">
        <v>52</v>
      </c>
    </row>
    <row r="67" spans="1:5" x14ac:dyDescent="0.2">
      <c r="A67" s="18" t="s">
        <v>17</v>
      </c>
      <c r="B67" s="18" t="s">
        <v>37</v>
      </c>
      <c r="C67" s="18">
        <v>2021</v>
      </c>
      <c r="D67" s="18" t="s">
        <v>32</v>
      </c>
      <c r="E67" s="18">
        <v>52</v>
      </c>
    </row>
    <row r="68" spans="1:5" x14ac:dyDescent="0.2">
      <c r="A68" s="18" t="s">
        <v>17</v>
      </c>
      <c r="B68" s="18" t="s">
        <v>37</v>
      </c>
      <c r="C68" s="18">
        <v>2021</v>
      </c>
      <c r="D68" s="18" t="s">
        <v>29</v>
      </c>
      <c r="E68" s="18">
        <v>2039</v>
      </c>
    </row>
    <row r="69" spans="1:5" x14ac:dyDescent="0.2">
      <c r="A69" s="18" t="s">
        <v>17</v>
      </c>
      <c r="B69" s="18" t="s">
        <v>37</v>
      </c>
      <c r="C69" s="18">
        <v>2022</v>
      </c>
      <c r="D69" s="18" t="s">
        <v>28</v>
      </c>
      <c r="E69" s="18">
        <v>52</v>
      </c>
    </row>
    <row r="70" spans="1:5" x14ac:dyDescent="0.2">
      <c r="A70" s="18" t="s">
        <v>17</v>
      </c>
      <c r="B70" s="18" t="s">
        <v>37</v>
      </c>
      <c r="C70" s="18">
        <v>2022</v>
      </c>
      <c r="D70" s="18" t="s">
        <v>32</v>
      </c>
      <c r="E70" s="18">
        <v>53</v>
      </c>
    </row>
    <row r="71" spans="1:5" x14ac:dyDescent="0.2">
      <c r="A71" s="18" t="s">
        <v>17</v>
      </c>
      <c r="B71" s="18" t="s">
        <v>37</v>
      </c>
      <c r="C71" s="18">
        <v>2022</v>
      </c>
      <c r="D71" s="18" t="s">
        <v>29</v>
      </c>
      <c r="E71" s="18">
        <v>1976</v>
      </c>
    </row>
    <row r="72" spans="1:5" x14ac:dyDescent="0.2">
      <c r="A72" s="18" t="s">
        <v>17</v>
      </c>
      <c r="B72" s="18" t="s">
        <v>37</v>
      </c>
      <c r="C72" s="18">
        <v>2023</v>
      </c>
      <c r="D72" s="18" t="s">
        <v>28</v>
      </c>
      <c r="E72" s="18">
        <v>37</v>
      </c>
    </row>
    <row r="73" spans="1:5" x14ac:dyDescent="0.2">
      <c r="A73" s="18" t="s">
        <v>17</v>
      </c>
      <c r="B73" s="18" t="s">
        <v>37</v>
      </c>
      <c r="C73" s="18">
        <v>2023</v>
      </c>
      <c r="D73" s="18" t="s">
        <v>32</v>
      </c>
      <c r="E73" s="18">
        <v>38</v>
      </c>
    </row>
    <row r="74" spans="1:5" x14ac:dyDescent="0.2">
      <c r="A74" s="18" t="s">
        <v>17</v>
      </c>
      <c r="B74" s="18" t="s">
        <v>37</v>
      </c>
      <c r="C74" s="18">
        <v>2023</v>
      </c>
      <c r="D74" s="18" t="s">
        <v>29</v>
      </c>
      <c r="E74" s="18">
        <v>1296</v>
      </c>
    </row>
    <row r="75" spans="1:5" x14ac:dyDescent="0.2">
      <c r="A75" s="18" t="s">
        <v>18</v>
      </c>
      <c r="B75" s="18" t="s">
        <v>38</v>
      </c>
      <c r="C75" s="18">
        <v>2020</v>
      </c>
      <c r="D75" s="18" t="s">
        <v>28</v>
      </c>
      <c r="E75" s="18">
        <v>46</v>
      </c>
    </row>
    <row r="76" spans="1:5" x14ac:dyDescent="0.2">
      <c r="A76" s="18" t="s">
        <v>18</v>
      </c>
      <c r="B76" s="18" t="s">
        <v>38</v>
      </c>
      <c r="C76" s="18">
        <v>2020</v>
      </c>
      <c r="D76" s="18" t="s">
        <v>29</v>
      </c>
      <c r="E76" s="18">
        <v>1932</v>
      </c>
    </row>
    <row r="77" spans="1:5" x14ac:dyDescent="0.2">
      <c r="A77" s="18" t="s">
        <v>18</v>
      </c>
      <c r="B77" s="18" t="s">
        <v>38</v>
      </c>
      <c r="C77" s="18">
        <v>2021</v>
      </c>
      <c r="D77" s="18" t="s">
        <v>28</v>
      </c>
      <c r="E77" s="18">
        <v>52</v>
      </c>
    </row>
    <row r="78" spans="1:5" x14ac:dyDescent="0.2">
      <c r="A78" s="18" t="s">
        <v>18</v>
      </c>
      <c r="B78" s="18" t="s">
        <v>38</v>
      </c>
      <c r="C78" s="18">
        <v>2021</v>
      </c>
      <c r="D78" s="18" t="s">
        <v>29</v>
      </c>
      <c r="E78" s="18">
        <v>2184</v>
      </c>
    </row>
    <row r="79" spans="1:5" x14ac:dyDescent="0.2">
      <c r="A79" s="18" t="s">
        <v>18</v>
      </c>
      <c r="B79" s="18" t="s">
        <v>38</v>
      </c>
      <c r="C79" s="18">
        <v>2022</v>
      </c>
      <c r="D79" s="18" t="s">
        <v>28</v>
      </c>
      <c r="E79" s="18">
        <v>52</v>
      </c>
    </row>
    <row r="80" spans="1:5" x14ac:dyDescent="0.2">
      <c r="A80" s="18" t="s">
        <v>18</v>
      </c>
      <c r="B80" s="18" t="s">
        <v>38</v>
      </c>
      <c r="C80" s="18">
        <v>2022</v>
      </c>
      <c r="D80" s="18" t="s">
        <v>29</v>
      </c>
      <c r="E80" s="18">
        <v>2184</v>
      </c>
    </row>
    <row r="81" spans="1:5" x14ac:dyDescent="0.2">
      <c r="A81" s="18" t="s">
        <v>18</v>
      </c>
      <c r="B81" s="18" t="s">
        <v>38</v>
      </c>
      <c r="C81" s="18">
        <v>2023</v>
      </c>
      <c r="D81" s="18" t="s">
        <v>28</v>
      </c>
      <c r="E81" s="18">
        <v>37</v>
      </c>
    </row>
    <row r="82" spans="1:5" x14ac:dyDescent="0.2">
      <c r="A82" s="18" t="s">
        <v>18</v>
      </c>
      <c r="B82" s="18" t="s">
        <v>38</v>
      </c>
      <c r="C82" s="18">
        <v>2023</v>
      </c>
      <c r="D82" s="18" t="s">
        <v>29</v>
      </c>
      <c r="E82" s="18">
        <v>1554</v>
      </c>
    </row>
    <row r="83" spans="1:5" x14ac:dyDescent="0.2">
      <c r="A83" s="18" t="s">
        <v>19</v>
      </c>
      <c r="B83" s="18" t="s">
        <v>39</v>
      </c>
      <c r="C83" s="18">
        <v>2020</v>
      </c>
      <c r="D83" s="18" t="s">
        <v>28</v>
      </c>
      <c r="E83" s="18">
        <v>46</v>
      </c>
    </row>
    <row r="84" spans="1:5" x14ac:dyDescent="0.2">
      <c r="A84" s="18" t="s">
        <v>19</v>
      </c>
      <c r="B84" s="18" t="s">
        <v>39</v>
      </c>
      <c r="C84" s="18">
        <v>2020</v>
      </c>
      <c r="D84" s="18" t="s">
        <v>32</v>
      </c>
      <c r="E84" s="18">
        <v>92</v>
      </c>
    </row>
    <row r="85" spans="1:5" x14ac:dyDescent="0.2">
      <c r="A85" s="18" t="s">
        <v>19</v>
      </c>
      <c r="B85" s="18" t="s">
        <v>39</v>
      </c>
      <c r="C85" s="18">
        <v>2020</v>
      </c>
      <c r="D85" s="18" t="s">
        <v>29</v>
      </c>
      <c r="E85" s="18">
        <v>1610</v>
      </c>
    </row>
    <row r="86" spans="1:5" x14ac:dyDescent="0.2">
      <c r="A86" s="18" t="s">
        <v>19</v>
      </c>
      <c r="B86" s="18" t="s">
        <v>39</v>
      </c>
      <c r="C86" s="18">
        <v>2021</v>
      </c>
      <c r="D86" s="18" t="s">
        <v>28</v>
      </c>
      <c r="E86" s="18">
        <v>51</v>
      </c>
    </row>
    <row r="87" spans="1:5" x14ac:dyDescent="0.2">
      <c r="A87" s="18" t="s">
        <v>19</v>
      </c>
      <c r="B87" s="18" t="s">
        <v>39</v>
      </c>
      <c r="C87" s="18">
        <v>2021</v>
      </c>
      <c r="D87" s="18" t="s">
        <v>32</v>
      </c>
      <c r="E87" s="18">
        <v>137</v>
      </c>
    </row>
    <row r="88" spans="1:5" x14ac:dyDescent="0.2">
      <c r="A88" s="18" t="s">
        <v>19</v>
      </c>
      <c r="B88" s="18" t="s">
        <v>39</v>
      </c>
      <c r="C88" s="18">
        <v>2021</v>
      </c>
      <c r="D88" s="18" t="s">
        <v>29</v>
      </c>
      <c r="E88" s="18">
        <v>1750</v>
      </c>
    </row>
    <row r="89" spans="1:5" x14ac:dyDescent="0.2">
      <c r="A89" s="18" t="s">
        <v>19</v>
      </c>
      <c r="B89" s="18" t="s">
        <v>39</v>
      </c>
      <c r="C89" s="18">
        <v>2022</v>
      </c>
      <c r="D89" s="18" t="s">
        <v>28</v>
      </c>
      <c r="E89" s="18">
        <v>51</v>
      </c>
    </row>
    <row r="90" spans="1:5" x14ac:dyDescent="0.2">
      <c r="A90" s="18" t="s">
        <v>19</v>
      </c>
      <c r="B90" s="18" t="s">
        <v>39</v>
      </c>
      <c r="C90" s="18">
        <v>2022</v>
      </c>
      <c r="D90" s="18" t="s">
        <v>32</v>
      </c>
      <c r="E90" s="18">
        <v>153</v>
      </c>
    </row>
    <row r="91" spans="1:5" x14ac:dyDescent="0.2">
      <c r="A91" s="18" t="s">
        <v>19</v>
      </c>
      <c r="B91" s="18" t="s">
        <v>39</v>
      </c>
      <c r="C91" s="18">
        <v>2022</v>
      </c>
      <c r="D91" s="18" t="s">
        <v>29</v>
      </c>
      <c r="E91" s="18">
        <v>1903</v>
      </c>
    </row>
    <row r="92" spans="1:5" x14ac:dyDescent="0.2">
      <c r="A92" s="18" t="s">
        <v>19</v>
      </c>
      <c r="B92" s="18" t="s">
        <v>39</v>
      </c>
      <c r="C92" s="18">
        <v>2023</v>
      </c>
      <c r="D92" s="18" t="s">
        <v>28</v>
      </c>
      <c r="E92" s="18">
        <v>36</v>
      </c>
    </row>
    <row r="93" spans="1:5" x14ac:dyDescent="0.2">
      <c r="A93" s="18" t="s">
        <v>19</v>
      </c>
      <c r="B93" s="18" t="s">
        <v>39</v>
      </c>
      <c r="C93" s="18">
        <v>2023</v>
      </c>
      <c r="D93" s="18" t="s">
        <v>32</v>
      </c>
      <c r="E93" s="18">
        <v>85</v>
      </c>
    </row>
    <row r="94" spans="1:5" x14ac:dyDescent="0.2">
      <c r="A94" s="18" t="s">
        <v>19</v>
      </c>
      <c r="B94" s="18" t="s">
        <v>39</v>
      </c>
      <c r="C94" s="18">
        <v>2023</v>
      </c>
      <c r="D94" s="18" t="s">
        <v>29</v>
      </c>
      <c r="E94" s="18">
        <v>1155</v>
      </c>
    </row>
    <row r="95" spans="1:5" x14ac:dyDescent="0.2">
      <c r="A95" s="18" t="s">
        <v>20</v>
      </c>
      <c r="B95" s="18" t="s">
        <v>40</v>
      </c>
      <c r="C95" s="18">
        <v>2020</v>
      </c>
      <c r="D95" s="18" t="s">
        <v>28</v>
      </c>
      <c r="E95" s="18">
        <v>45</v>
      </c>
    </row>
    <row r="96" spans="1:5" x14ac:dyDescent="0.2">
      <c r="A96" s="18" t="s">
        <v>20</v>
      </c>
      <c r="B96" s="18" t="s">
        <v>40</v>
      </c>
      <c r="C96" s="18">
        <v>2020</v>
      </c>
      <c r="D96" s="18" t="s">
        <v>32</v>
      </c>
      <c r="E96" s="18">
        <v>45</v>
      </c>
    </row>
    <row r="97" spans="1:5" x14ac:dyDescent="0.2">
      <c r="A97" s="18" t="s">
        <v>20</v>
      </c>
      <c r="B97" s="18" t="s">
        <v>40</v>
      </c>
      <c r="C97" s="18">
        <v>2020</v>
      </c>
      <c r="D97" s="18" t="s">
        <v>29</v>
      </c>
      <c r="E97" s="18">
        <v>1859</v>
      </c>
    </row>
    <row r="98" spans="1:5" x14ac:dyDescent="0.2">
      <c r="A98" s="18" t="s">
        <v>20</v>
      </c>
      <c r="B98" s="18" t="s">
        <v>40</v>
      </c>
      <c r="C98" s="18">
        <v>2021</v>
      </c>
      <c r="D98" s="18" t="s">
        <v>28</v>
      </c>
      <c r="E98" s="18">
        <v>53</v>
      </c>
    </row>
    <row r="99" spans="1:5" x14ac:dyDescent="0.2">
      <c r="A99" s="18" t="s">
        <v>20</v>
      </c>
      <c r="B99" s="18" t="s">
        <v>40</v>
      </c>
      <c r="C99" s="18">
        <v>2021</v>
      </c>
      <c r="D99" s="18" t="s">
        <v>32</v>
      </c>
      <c r="E99" s="18">
        <v>201</v>
      </c>
    </row>
    <row r="100" spans="1:5" x14ac:dyDescent="0.2">
      <c r="A100" s="18" t="s">
        <v>20</v>
      </c>
      <c r="B100" s="18" t="s">
        <v>40</v>
      </c>
      <c r="C100" s="18">
        <v>2021</v>
      </c>
      <c r="D100" s="18" t="s">
        <v>29</v>
      </c>
      <c r="E100" s="18">
        <v>1971</v>
      </c>
    </row>
    <row r="101" spans="1:5" x14ac:dyDescent="0.2">
      <c r="A101" s="18" t="s">
        <v>20</v>
      </c>
      <c r="B101" s="18" t="s">
        <v>40</v>
      </c>
      <c r="C101" s="18">
        <v>2022</v>
      </c>
      <c r="D101" s="18" t="s">
        <v>28</v>
      </c>
      <c r="E101" s="18">
        <v>52</v>
      </c>
    </row>
    <row r="102" spans="1:5" x14ac:dyDescent="0.2">
      <c r="A102" s="18" t="s">
        <v>20</v>
      </c>
      <c r="B102" s="18" t="s">
        <v>40</v>
      </c>
      <c r="C102" s="18">
        <v>2022</v>
      </c>
      <c r="D102" s="18" t="s">
        <v>32</v>
      </c>
      <c r="E102" s="18">
        <v>260</v>
      </c>
    </row>
    <row r="103" spans="1:5" x14ac:dyDescent="0.2">
      <c r="A103" s="18" t="s">
        <v>20</v>
      </c>
      <c r="B103" s="18" t="s">
        <v>40</v>
      </c>
      <c r="C103" s="18">
        <v>2022</v>
      </c>
      <c r="D103" s="18" t="s">
        <v>29</v>
      </c>
      <c r="E103" s="18">
        <v>1196</v>
      </c>
    </row>
    <row r="104" spans="1:5" x14ac:dyDescent="0.2">
      <c r="A104" s="18" t="s">
        <v>20</v>
      </c>
      <c r="B104" s="18" t="s">
        <v>40</v>
      </c>
      <c r="C104" s="18">
        <v>2023</v>
      </c>
      <c r="D104" s="18" t="s">
        <v>28</v>
      </c>
      <c r="E104" s="18">
        <v>37</v>
      </c>
    </row>
    <row r="105" spans="1:5" x14ac:dyDescent="0.2">
      <c r="A105" s="18" t="s">
        <v>20</v>
      </c>
      <c r="B105" s="18" t="s">
        <v>40</v>
      </c>
      <c r="C105" s="18">
        <v>2023</v>
      </c>
      <c r="D105" s="18" t="s">
        <v>32</v>
      </c>
      <c r="E105" s="18">
        <v>185</v>
      </c>
    </row>
    <row r="106" spans="1:5" x14ac:dyDescent="0.2">
      <c r="A106" s="18" t="s">
        <v>20</v>
      </c>
      <c r="B106" s="18" t="s">
        <v>40</v>
      </c>
      <c r="C106" s="18">
        <v>2023</v>
      </c>
      <c r="D106" s="18" t="s">
        <v>29</v>
      </c>
      <c r="E106" s="18">
        <v>851</v>
      </c>
    </row>
    <row r="107" spans="1:5" x14ac:dyDescent="0.2">
      <c r="A107" s="18" t="s">
        <v>21</v>
      </c>
      <c r="B107" s="18" t="s">
        <v>41</v>
      </c>
      <c r="C107" s="18">
        <v>2020</v>
      </c>
      <c r="D107" s="18" t="s">
        <v>28</v>
      </c>
      <c r="E107" s="18">
        <v>46</v>
      </c>
    </row>
    <row r="108" spans="1:5" x14ac:dyDescent="0.2">
      <c r="A108" s="18" t="s">
        <v>21</v>
      </c>
      <c r="B108" s="18" t="s">
        <v>41</v>
      </c>
      <c r="C108" s="18">
        <v>2020</v>
      </c>
      <c r="D108" s="18" t="s">
        <v>32</v>
      </c>
      <c r="E108" s="18">
        <v>80</v>
      </c>
    </row>
    <row r="109" spans="1:5" x14ac:dyDescent="0.2">
      <c r="A109" s="18" t="s">
        <v>21</v>
      </c>
      <c r="B109" s="18" t="s">
        <v>41</v>
      </c>
      <c r="C109" s="18">
        <v>2020</v>
      </c>
      <c r="D109" s="18" t="s">
        <v>29</v>
      </c>
      <c r="E109" s="18">
        <v>1414</v>
      </c>
    </row>
    <row r="110" spans="1:5" x14ac:dyDescent="0.2">
      <c r="A110" s="18" t="s">
        <v>21</v>
      </c>
      <c r="B110" s="18" t="s">
        <v>41</v>
      </c>
      <c r="C110" s="18">
        <v>2021</v>
      </c>
      <c r="D110" s="18" t="s">
        <v>28</v>
      </c>
      <c r="E110" s="18">
        <v>53</v>
      </c>
    </row>
    <row r="111" spans="1:5" x14ac:dyDescent="0.2">
      <c r="A111" s="18" t="s">
        <v>21</v>
      </c>
      <c r="B111" s="18" t="s">
        <v>41</v>
      </c>
      <c r="C111" s="18">
        <v>2021</v>
      </c>
      <c r="D111" s="18" t="s">
        <v>29</v>
      </c>
      <c r="E111" s="18">
        <v>2524</v>
      </c>
    </row>
    <row r="112" spans="1:5" x14ac:dyDescent="0.2">
      <c r="A112" s="18" t="s">
        <v>21</v>
      </c>
      <c r="B112" s="18" t="s">
        <v>41</v>
      </c>
      <c r="C112" s="18">
        <v>2022</v>
      </c>
      <c r="D112" s="18" t="s">
        <v>28</v>
      </c>
      <c r="E112" s="18">
        <v>53</v>
      </c>
    </row>
    <row r="113" spans="1:5" x14ac:dyDescent="0.2">
      <c r="A113" s="18" t="s">
        <v>21</v>
      </c>
      <c r="B113" s="18" t="s">
        <v>41</v>
      </c>
      <c r="C113" s="18">
        <v>2022</v>
      </c>
      <c r="D113" s="18" t="s">
        <v>29</v>
      </c>
      <c r="E113" s="18">
        <v>2435</v>
      </c>
    </row>
    <row r="114" spans="1:5" x14ac:dyDescent="0.2">
      <c r="A114" s="18" t="s">
        <v>21</v>
      </c>
      <c r="B114" s="18" t="s">
        <v>41</v>
      </c>
      <c r="C114" s="18">
        <v>2023</v>
      </c>
      <c r="D114" s="18" t="s">
        <v>28</v>
      </c>
      <c r="E114" s="18">
        <v>37</v>
      </c>
    </row>
    <row r="115" spans="1:5" x14ac:dyDescent="0.2">
      <c r="A115" s="18" t="s">
        <v>21</v>
      </c>
      <c r="B115" s="18" t="s">
        <v>41</v>
      </c>
      <c r="C115" s="18">
        <v>2023</v>
      </c>
      <c r="D115" s="18" t="s">
        <v>29</v>
      </c>
      <c r="E115" s="18">
        <v>1601</v>
      </c>
    </row>
    <row r="116" spans="1:5" x14ac:dyDescent="0.2">
      <c r="A116" s="18" t="s">
        <v>22</v>
      </c>
      <c r="B116" s="18" t="s">
        <v>42</v>
      </c>
      <c r="C116" s="18">
        <v>2020</v>
      </c>
      <c r="D116" s="18" t="s">
        <v>28</v>
      </c>
      <c r="E116" s="18">
        <v>45</v>
      </c>
    </row>
    <row r="117" spans="1:5" x14ac:dyDescent="0.2">
      <c r="A117" s="18" t="s">
        <v>22</v>
      </c>
      <c r="B117" s="18" t="s">
        <v>42</v>
      </c>
      <c r="C117" s="18">
        <v>2020</v>
      </c>
      <c r="D117" s="18" t="s">
        <v>29</v>
      </c>
      <c r="E117" s="18">
        <v>990</v>
      </c>
    </row>
    <row r="118" spans="1:5" x14ac:dyDescent="0.2">
      <c r="A118" s="18" t="s">
        <v>22</v>
      </c>
      <c r="B118" s="18" t="s">
        <v>42</v>
      </c>
      <c r="C118" s="18">
        <v>2021</v>
      </c>
      <c r="D118" s="18" t="s">
        <v>28</v>
      </c>
      <c r="E118" s="18">
        <v>53</v>
      </c>
    </row>
    <row r="119" spans="1:5" x14ac:dyDescent="0.2">
      <c r="A119" s="18" t="s">
        <v>22</v>
      </c>
      <c r="B119" s="18" t="s">
        <v>42</v>
      </c>
      <c r="C119" s="18">
        <v>2021</v>
      </c>
      <c r="D119" s="18" t="s">
        <v>29</v>
      </c>
      <c r="E119" s="18">
        <v>1120</v>
      </c>
    </row>
    <row r="120" spans="1:5" x14ac:dyDescent="0.2">
      <c r="A120" s="18" t="s">
        <v>22</v>
      </c>
      <c r="B120" s="18" t="s">
        <v>42</v>
      </c>
      <c r="C120" s="18">
        <v>2022</v>
      </c>
      <c r="D120" s="18" t="s">
        <v>28</v>
      </c>
      <c r="E120" s="18">
        <v>52</v>
      </c>
    </row>
    <row r="121" spans="1:5" x14ac:dyDescent="0.2">
      <c r="A121" s="18" t="s">
        <v>22</v>
      </c>
      <c r="B121" s="18" t="s">
        <v>42</v>
      </c>
      <c r="C121" s="18">
        <v>2022</v>
      </c>
      <c r="D121" s="18" t="s">
        <v>29</v>
      </c>
      <c r="E121" s="18">
        <v>1040</v>
      </c>
    </row>
    <row r="122" spans="1:5" x14ac:dyDescent="0.2">
      <c r="A122" s="18" t="s">
        <v>22</v>
      </c>
      <c r="B122" s="18" t="s">
        <v>42</v>
      </c>
      <c r="C122" s="18">
        <v>2023</v>
      </c>
      <c r="D122" s="18" t="s">
        <v>28</v>
      </c>
      <c r="E122" s="18">
        <v>37</v>
      </c>
    </row>
    <row r="123" spans="1:5" x14ac:dyDescent="0.2">
      <c r="A123" s="18" t="s">
        <v>22</v>
      </c>
      <c r="B123" s="18" t="s">
        <v>42</v>
      </c>
      <c r="C123" s="18">
        <v>2023</v>
      </c>
      <c r="D123" s="18" t="s">
        <v>29</v>
      </c>
      <c r="E123" s="18">
        <v>1006</v>
      </c>
    </row>
    <row r="124" spans="1:5" x14ac:dyDescent="0.2">
      <c r="A124" s="18" t="s">
        <v>23</v>
      </c>
      <c r="B124" s="18" t="s">
        <v>43</v>
      </c>
      <c r="C124" s="18">
        <v>2020</v>
      </c>
      <c r="D124" s="18" t="s">
        <v>28</v>
      </c>
      <c r="E124" s="18">
        <v>46</v>
      </c>
    </row>
    <row r="125" spans="1:5" x14ac:dyDescent="0.2">
      <c r="A125" s="18" t="s">
        <v>23</v>
      </c>
      <c r="B125" s="18" t="s">
        <v>43</v>
      </c>
      <c r="C125" s="18">
        <v>2020</v>
      </c>
      <c r="D125" s="18" t="s">
        <v>29</v>
      </c>
      <c r="E125" s="18">
        <v>1992</v>
      </c>
    </row>
    <row r="126" spans="1:5" x14ac:dyDescent="0.2">
      <c r="A126" s="18" t="s">
        <v>23</v>
      </c>
      <c r="B126" s="18" t="s">
        <v>43</v>
      </c>
      <c r="C126" s="18">
        <v>2021</v>
      </c>
      <c r="D126" s="18" t="s">
        <v>28</v>
      </c>
      <c r="E126" s="18">
        <v>52</v>
      </c>
    </row>
    <row r="127" spans="1:5" x14ac:dyDescent="0.2">
      <c r="A127" s="18" t="s">
        <v>23</v>
      </c>
      <c r="B127" s="18" t="s">
        <v>43</v>
      </c>
      <c r="C127" s="18">
        <v>2021</v>
      </c>
      <c r="D127" s="18" t="s">
        <v>29</v>
      </c>
      <c r="E127" s="18">
        <v>2026</v>
      </c>
    </row>
    <row r="128" spans="1:5" x14ac:dyDescent="0.2">
      <c r="A128" s="18" t="s">
        <v>23</v>
      </c>
      <c r="B128" s="18" t="s">
        <v>43</v>
      </c>
      <c r="C128" s="18">
        <v>2022</v>
      </c>
      <c r="D128" s="18" t="s">
        <v>28</v>
      </c>
      <c r="E128" s="18">
        <v>52</v>
      </c>
    </row>
    <row r="129" spans="1:5" x14ac:dyDescent="0.2">
      <c r="A129" s="18" t="s">
        <v>23</v>
      </c>
      <c r="B129" s="18" t="s">
        <v>43</v>
      </c>
      <c r="C129" s="18">
        <v>2022</v>
      </c>
      <c r="D129" s="18" t="s">
        <v>29</v>
      </c>
      <c r="E129" s="18">
        <v>1872</v>
      </c>
    </row>
    <row r="130" spans="1:5" x14ac:dyDescent="0.2">
      <c r="A130" s="18" t="s">
        <v>23</v>
      </c>
      <c r="B130" s="18" t="s">
        <v>43</v>
      </c>
      <c r="C130" s="18">
        <v>2023</v>
      </c>
      <c r="D130" s="18" t="s">
        <v>28</v>
      </c>
      <c r="E130" s="18">
        <v>37</v>
      </c>
    </row>
    <row r="131" spans="1:5" x14ac:dyDescent="0.2">
      <c r="A131" s="18" t="s">
        <v>23</v>
      </c>
      <c r="B131" s="18" t="s">
        <v>43</v>
      </c>
      <c r="C131" s="18">
        <v>2023</v>
      </c>
      <c r="D131" s="18" t="s">
        <v>29</v>
      </c>
      <c r="E131" s="18">
        <v>1242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8" customWidth="1"/>
    <col min="3" max="3" width="14" customWidth="1"/>
    <col min="4" max="4" width="10" customWidth="1"/>
  </cols>
  <sheetData>
    <row r="1" spans="1:4" x14ac:dyDescent="0.2">
      <c r="A1" s="17" t="s">
        <v>24</v>
      </c>
      <c r="B1" s="17" t="s">
        <v>25</v>
      </c>
      <c r="C1" s="17" t="s">
        <v>26</v>
      </c>
      <c r="D1" s="17" t="s">
        <v>8</v>
      </c>
    </row>
    <row r="2" spans="1:4" x14ac:dyDescent="0.2">
      <c r="A2" s="18" t="s">
        <v>44</v>
      </c>
      <c r="B2" s="18">
        <v>2020</v>
      </c>
      <c r="C2" s="18" t="s">
        <v>28</v>
      </c>
      <c r="D2" s="18">
        <v>9</v>
      </c>
    </row>
    <row r="3" spans="1:4" x14ac:dyDescent="0.2">
      <c r="A3" s="18" t="s">
        <v>44</v>
      </c>
      <c r="B3" s="18">
        <v>2020</v>
      </c>
      <c r="C3" s="18" t="s">
        <v>29</v>
      </c>
      <c r="D3" s="18">
        <v>444</v>
      </c>
    </row>
    <row r="4" spans="1:4" x14ac:dyDescent="0.2">
      <c r="A4" s="18" t="s">
        <v>44</v>
      </c>
      <c r="B4" s="18">
        <v>2021</v>
      </c>
      <c r="C4" s="18" t="s">
        <v>28</v>
      </c>
      <c r="D4" s="18">
        <v>12</v>
      </c>
    </row>
    <row r="5" spans="1:4" x14ac:dyDescent="0.2">
      <c r="A5" s="18" t="s">
        <v>44</v>
      </c>
      <c r="B5" s="18">
        <v>2021</v>
      </c>
      <c r="C5" s="18" t="s">
        <v>29</v>
      </c>
      <c r="D5" s="18">
        <v>506</v>
      </c>
    </row>
    <row r="6" spans="1:4" x14ac:dyDescent="0.2">
      <c r="A6" s="18" t="s">
        <v>44</v>
      </c>
      <c r="B6" s="18">
        <v>2022</v>
      </c>
      <c r="C6" s="18" t="s">
        <v>28</v>
      </c>
      <c r="D6" s="18">
        <v>11</v>
      </c>
    </row>
    <row r="7" spans="1:4" x14ac:dyDescent="0.2">
      <c r="A7" s="18" t="s">
        <v>44</v>
      </c>
      <c r="B7" s="18">
        <v>2022</v>
      </c>
      <c r="C7" s="18" t="s">
        <v>29</v>
      </c>
      <c r="D7" s="18">
        <v>285</v>
      </c>
    </row>
    <row r="8" spans="1:4" x14ac:dyDescent="0.2">
      <c r="A8" s="18" t="s">
        <v>44</v>
      </c>
      <c r="B8" s="18">
        <v>2023</v>
      </c>
      <c r="C8" s="18" t="s">
        <v>28</v>
      </c>
      <c r="D8" s="18">
        <v>8</v>
      </c>
    </row>
    <row r="9" spans="1:4" x14ac:dyDescent="0.2">
      <c r="A9" s="18" t="s">
        <v>44</v>
      </c>
      <c r="B9" s="18">
        <v>2023</v>
      </c>
      <c r="C9" s="18" t="s">
        <v>29</v>
      </c>
      <c r="D9" s="18">
        <v>200</v>
      </c>
    </row>
    <row r="10" spans="1:4" x14ac:dyDescent="0.2">
      <c r="A10" s="18" t="s">
        <v>45</v>
      </c>
      <c r="B10" s="18">
        <v>2020</v>
      </c>
      <c r="C10" s="18" t="s">
        <v>28</v>
      </c>
      <c r="D10" s="18">
        <v>1</v>
      </c>
    </row>
    <row r="11" spans="1:4" x14ac:dyDescent="0.2">
      <c r="A11" s="18" t="s">
        <v>45</v>
      </c>
      <c r="B11" s="18">
        <v>2020</v>
      </c>
      <c r="C11" s="18" t="s">
        <v>32</v>
      </c>
      <c r="D11" s="18">
        <v>80</v>
      </c>
    </row>
    <row r="12" spans="1:4" x14ac:dyDescent="0.2">
      <c r="A12" s="18" t="s">
        <v>45</v>
      </c>
      <c r="B12" s="18">
        <v>2020</v>
      </c>
      <c r="C12" s="18" t="s">
        <v>29</v>
      </c>
      <c r="D12" s="18">
        <v>29</v>
      </c>
    </row>
    <row r="14" spans="1:4" x14ac:dyDescent="0.2">
      <c r="A14" s="19" t="s">
        <v>46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Panel</vt:lpstr>
      <vt:lpstr>Test 1</vt:lpstr>
      <vt:lpstr>Datos</vt:lpstr>
      <vt:lpstr>Datos_Nacionales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FELIPE RODRIGUEZ GALINDO</cp:lastModifiedBy>
  <cp:revision>0</cp:revision>
  <dcterms:created xsi:type="dcterms:W3CDTF">2026-09-03T04:12:21Z</dcterms:created>
  <dcterms:modified xsi:type="dcterms:W3CDTF">2026-09-03T04:23:58Z</dcterms:modified>
  <dc:language>en-US</dc:language>
</cp:coreProperties>
</file>